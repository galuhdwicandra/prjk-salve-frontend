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998AC306-1E61-4C18-B34A-D3F0DE8D5946}" xr6:coauthVersionLast="47" xr6:coauthVersionMax="47" xr10:uidLastSave="{00000000-0000-0000-0000-000000000000}"/>
  <bookViews>
    <workbookView xWindow="28680" yWindow="-4395" windowWidth="19440" windowHeight="14880" xr2:uid="{00000000-000D-0000-FFFF-FFFF00000000}"/>
  </bookViews>
  <sheets>
    <sheet name="Backlog" sheetId="2" r:id="rId1"/>
    <sheet name="Sprin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D9" i="3"/>
  <c r="D8" i="3"/>
  <c r="D7" i="3"/>
  <c r="D6" i="3"/>
  <c r="D5" i="3"/>
  <c r="D4" i="3"/>
  <c r="D3" i="3"/>
  <c r="D2" i="3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<sst xmlns="http://schemas.openxmlformats.org/spreadsheetml/2006/main" count="537" uniqueCount="183">
  <si>
    <t>Judul</t>
  </si>
  <si>
    <t>Epic</t>
  </si>
  <si>
    <t>Tipe</t>
  </si>
  <si>
    <t>Layer</t>
  </si>
  <si>
    <t>Status</t>
  </si>
  <si>
    <t>Prioritas</t>
  </si>
  <si>
    <t>Point</t>
  </si>
  <si>
    <t>Sprint</t>
  </si>
  <si>
    <t>PIC</t>
  </si>
  <si>
    <t>Tergantung Pada</t>
  </si>
  <si>
    <t>Acceptance Criteria</t>
  </si>
  <si>
    <t>Spike: putuskan basis kode PWA—port ke React/Vite atau lanjut vanilla single-file</t>
  </si>
  <si>
    <t>0 - Fondasi PWA</t>
  </si>
  <si>
    <t>Spike</t>
  </si>
  <si>
    <t>PWA</t>
  </si>
  <si>
    <t>Selesai</t>
  </si>
  <si>
    <t>Must</t>
  </si>
  <si>
    <t>Salve Cleaning Shoes</t>
  </si>
  <si>
    <t>Ada keputusan tertulis beserta alasannya. Semua pekerjaan berikutnya mengacu pada keputusan tersebut.</t>
  </si>
  <si>
    <t>Simpan prototype CRAFT ke git sebagai referensi (sekarang tidak terversioning)</t>
  </si>
  <si>
    <t>Chore</t>
  </si>
  <si>
    <t>Infra</t>
  </si>
  <si>
    <t>Backlog</t>
  </si>
  <si>
    <t>main.js dan styles.css ada di remote git. node_modules tidak ikut. Ada README yang menyatakan status arsip.</t>
  </si>
  <si>
    <t>Scope styles.css ke prefix .craft agar tidak bentrok dengan .btn dan .chip di index.css</t>
  </si>
  <si>
    <t>Setelah styles.css diterapkan, buka lima halaman admin lama. Tampilan tombol dan chip tidak berubah.</t>
  </si>
  <si>
    <t>Buat CraftLayout React: sidebar, topbar, bottom navigation, dan navigation sheet</t>
  </si>
  <si>
    <t>Story</t>
  </si>
  <si>
    <t>Layout tampil dengan benar pada HP dan desktop. Layout admin lama tidak berubah.</t>
  </si>
  <si>
    <t>Review</t>
  </si>
  <si>
    <t>Pindahkan fungsi murni dari main.js ke frontend/src/utils dengan tipe yang jelas</t>
  </si>
  <si>
    <t>Siap</t>
  </si>
  <si>
    <t>Fungsi rp, num, esc, fmtDate, orderPaid, orderOutstanding, payStatus, dan rangeFor sudah dipindahkan. Tersedia minimal satu test untuk orderOutstanding.</t>
  </si>
  <si>
    <t>Pecah CRAFT V0.html menjadi struktur project dan build pipeline</t>
  </si>
  <si>
    <t>npm run build menghasilkan bundle. Semua 35 route tetap berjalan seperti prototype.</t>
  </si>
  <si>
    <t>Setup environment dan deploy staging PWA</t>
  </si>
  <si>
    <t>URL staging dapat dibuka dari HP dan aplikasi dapat di-install.</t>
  </si>
  <si>
    <t>Pasang vite-plugin-pwa di frontend: manifest, icon, dan service worker</t>
  </si>
  <si>
    <t>Aplikasi bisa dipasang di Android dan iOS. Halaman admin lama tetap berjalan normal setelah service worker aktif. Service worker tidak meng-cache respons /api/v1 sehingga saldo dan daftar order selalu terbaru. Ada mekanisme update sehingga kasir tidak terjebak di versi lama.</t>
  </si>
  <si>
    <t>Arsipkan project-pwa sebagai referensi read-only dan keluarkan dari proses deploy</t>
  </si>
  <si>
    <t>Tersedia README yang menjelaskan status arsip. Tidak ada script deployment yang menggunakan folder tersebut.</t>
  </si>
  <si>
    <t>Spike: selaraskan model akses modules[] di PWA dengan roles di backend</t>
  </si>
  <si>
    <t>1 - Akses &amp; Master</t>
  </si>
  <si>
    <t>Backend</t>
  </si>
  <si>
    <t>Ada keputusan menggunakan role backend atau whitelist route. Tersedia daftar role dan modul yang dapat diakses.</t>
  </si>
  <si>
    <t>Pecah router/index.tsx per modul karena sudah 610 baris dan akan bertambah 51 route</t>
  </si>
  <si>
    <t>Should</t>
  </si>
  <si>
    <t>Route sudah dipisahkan berdasarkan modul tanpa perubahan perilaku aplikasi.</t>
  </si>
  <si>
    <t>Perbaiki bug VITE_FEATURE_VOUCHER yang membungkus seluruh route accounting</t>
  </si>
  <si>
    <t>Bug</t>
  </si>
  <si>
    <t>Saat feature flag voucher dinonaktifkan, modul Akuntansi tetap dapat diakses.</t>
  </si>
  <si>
    <t>Hubungkan Master Outlet ke /branches</t>
  </si>
  <si>
    <t>CRUD outlet tersimpan di database. Dropdown outlet pada topbar mengambil data dari API.</t>
  </si>
  <si>
    <t>Hubungkan Master Produk dan Layanan ke /services dan /service-categories</t>
  </si>
  <si>
    <t>Struktur parent-variant dari prototype tetap berjalan.</t>
  </si>
  <si>
    <t>Hubungkan harga per outlet dan SLA ke /service-prices/set</t>
  </si>
  <si>
    <t>Perubahan harga pada satu outlet tidak memengaruhi outlet lain. SLA tersimpan.</t>
  </si>
  <si>
    <t>Hubungkan User &amp; Access ke /users dan /users/{user}/roles</t>
  </si>
  <si>
    <t>Dapat menambah user, menetapkan role, dan menetapkan cabang. User baru dapat login.</t>
  </si>
  <si>
    <t>Hubungkan Penomoran Otomatis ke /invoice-counters</t>
  </si>
  <si>
    <t>Format nomor dan reset periode sesuai dengan preview dari backend.</t>
  </si>
  <si>
    <t>Backend: model dan endpoint Metode Pembayaran</t>
  </si>
  <si>
    <t>Tersedia CRUD dan mapping metode pembayaran ke akun kas atau bank per cabang.</t>
  </si>
  <si>
    <t>UI Master Metode Pembayaran</t>
  </si>
  <si>
    <t>Metode pembayaran aktif muncul sebagai pilihan pada POS.</t>
  </si>
  <si>
    <t>Backend: model dan endpoint Label Customer</t>
  </si>
  <si>
    <t>Tersedia CRUD label dan fungsi untuk memasangkan label ke customer.</t>
  </si>
  <si>
    <t>UI Master Label Customer</t>
  </si>
  <si>
    <t>Label customer ditampilkan sebagai chip pada database customer.</t>
  </si>
  <si>
    <t>Transkripsi POS sebagai layar percontohan dan kalibrasi estimasi</t>
  </si>
  <si>
    <t>2 - Kasir/POS</t>
  </si>
  <si>
    <t>mst</t>
  </si>
  <si>
    <t>Satu layar selesai dari JSX sampai integrasi API. Estimasi poin untuk sisa 50 layar dihitung ulang berdasarkan hasil implementasi tersebut.</t>
  </si>
  <si>
    <t>POS: pilih layanan, keranjang, dan jumlah item</t>
  </si>
  <si>
    <t>Harga otomatis mengikuti outlet aktif. Perhitungan subtotal benar.</t>
  </si>
  <si>
    <t>POS: diskon per item dan per order dalam rupiah atau persen</t>
  </si>
  <si>
    <t>Diskon persen dan rupiah menghasilkan total yang sesuai dengan perhitungan manual.</t>
  </si>
  <si>
    <t>POS: pilih atau buat customer dan cari melalui /customers/search-wa</t>
  </si>
  <si>
    <t>Saat nomor WhatsApp yang sudah terdaftar dimasukkan, data customer lama muncul dan tidak membuat duplikat.</t>
  </si>
  <si>
    <t>POS: terapkan voucher melalui /orders/{order}/apply-voucher</t>
  </si>
  <si>
    <t>Voucher kedaluwarsa atau tidak aktif ditolak dengan pesan yang jelas.</t>
  </si>
  <si>
    <t>POS: pembayaran penuh dan DP melalui /orders/{order}/payments</t>
  </si>
  <si>
    <t>Status lunas, DP, atau belum bayar sesuai transaksi. Sisa tagihan dihitung dengan benar.</t>
  </si>
  <si>
    <t>POS: simpan order ke /orders dan tampilkan preview struk</t>
  </si>
  <si>
    <t>Nomor order berasal dari backend dan tidak dibuat secara lokal.</t>
  </si>
  <si>
    <t>Struk: cetak, bagikan, dan tampilkan QRIS</t>
  </si>
  <si>
    <t>Struk dapat dikirim melalui WhatsApp. QR tetap dapat ditampilkan saat offline.</t>
  </si>
  <si>
    <t>Receipt List dengan filter dan pagination dari /orders</t>
  </si>
  <si>
    <t>3 - Receipt &amp; Customer</t>
  </si>
  <si>
    <t>Filter tanggal, outlet, dan status berjalan. Daftar 1.000 order tidak menyebabkan lag.</t>
  </si>
  <si>
    <t>Detail Receipt serta refund/void melalui /orders/{order}/status</t>
  </si>
  <si>
    <t>Refund mengurangi saldo kas dan tercatat pada histori transaksi.</t>
  </si>
  <si>
    <t>Database Customer dari /customers</t>
  </si>
  <si>
    <t>Pencarian berdasarkan nama dan nomor WhatsApp berjalan.</t>
  </si>
  <si>
    <t>Detail Customer, histori, dan loyalty dari /loyalty/{customer}</t>
  </si>
  <si>
    <t>Poin dan histori kunjungan sesuai dengan data backend.</t>
  </si>
  <si>
    <t>Master Promo/Voucher dari /vouchers</t>
  </si>
  <si>
    <t>Tersedia CRUD voucher, periode aktif, dan fungsi arsip.</t>
  </si>
  <si>
    <t>Spike: finalkan aturan earn dan redeem loyalty card</t>
  </si>
  <si>
    <t>Could</t>
  </si>
  <si>
    <t>Tersedia keputusan bisnis tertulis karena prototype pada baris 4778 belum menjelaskan aturan secara rinci.</t>
  </si>
  <si>
    <t>Sorting List: pisahkan order ke Workshop atau Vendor</t>
  </si>
  <si>
    <t>4 - Operasional</t>
  </si>
  <si>
    <t>Order masuk ke antrean yang sesuai. Tidak ada order yang tidak memiliki tujuan pengerjaan.</t>
  </si>
  <si>
    <t>Backend: model dan endpoint Kontak/Vendor/Subcon</t>
  </si>
  <si>
    <t>Tersedia CRUD kontak dan kategori. Data dapat digunakan untuk sorting vendor dan transaksi keuangan.</t>
  </si>
  <si>
    <t>Workshop Board melalui /production-board untuk start, move, dan finish</t>
  </si>
  <si>
    <t>Perubahan status tercatat berdasarkan teknisi. Deadline SLA terlihat.</t>
  </si>
  <si>
    <t>Correction request: approve atau reject pada board</t>
  </si>
  <si>
    <t>Hanya manager yang memiliki izin untuk menyetujui permintaan koreksi.</t>
  </si>
  <si>
    <t>Backend: verifikasi atau bangun Surat Jalan antar-outlet</t>
  </si>
  <si>
    <t>Periksa lebih dahulu apakah model Delivery sudah mencukupi. Model baru hanya dibuat jika memang diperlukan.</t>
  </si>
  <si>
    <t>Pengiriman dan kurir melalui /deliveries</t>
  </si>
  <si>
    <t>Admin dapat menetapkan kurir. Kurir dapat memperbarui status perjalanan melalui HP.</t>
  </si>
  <si>
    <t>Tracker order publik berdasarkan nomor order</t>
  </si>
  <si>
    <t>Pelanggan dapat membuka link tanpa login dan melihat progres order.</t>
  </si>
  <si>
    <t>Template WhatsApp melalui /whatsapp-templates dan pengiriman status</t>
  </si>
  <si>
    <t>Placeholder nama, nomor order, dan status terisi dengan benar.</t>
  </si>
  <si>
    <t>Kas &amp; Bank: daftar akun dan saldo berjalan</t>
  </si>
  <si>
    <t>5 - Keuangan</t>
  </si>
  <si>
    <t>Saldo sesuai dengan mutasi. Informasi saldo disembunyikan untuk user tanpa hak akses.</t>
  </si>
  <si>
    <t>Uang masuk dan keluar di luar penjualan</t>
  </si>
  <si>
    <t>Transaksi masuk ke akun yang sesuai dan memiliki lampiran bukti.</t>
  </si>
  <si>
    <t>Backend: endpoint Pindah Dana antar-akun</t>
  </si>
  <si>
    <t>Satu transaksi mengubah dua saldo secara atomik.</t>
  </si>
  <si>
    <t>UI Pindah Dana serta saldo sebelum dan sesudah</t>
  </si>
  <si>
    <t>Saldo sebelum dan setelah transaksi ditampilkan sebelum konfirmasi.</t>
  </si>
  <si>
    <t>UI Database Kontak untuk vendor, karyawan, dan kategori lainnya</t>
  </si>
  <si>
    <t>Tersedia filter per kategori dan fungsi arsip.</t>
  </si>
  <si>
    <t>Master Kategori Transaksi dan mapping COA melalui /accounting</t>
  </si>
  <si>
    <t>Kategori dipetakan ke akun jurnal. Transaksi baru otomatis menghasilkan jurnal.</t>
  </si>
  <si>
    <t>Sesi kas harian melalui /cash-sessions</t>
  </si>
  <si>
    <t>Tersedia proses buka kas, tutup kas, dan perhitungan selisih.</t>
  </si>
  <si>
    <t>Dashboard ringkasan dari /dashboard/summary</t>
  </si>
  <si>
    <t>6 - Laporan &amp; Dashboard</t>
  </si>
  <si>
    <t>Angka dashboard sama dengan laporan detail untuk periode yang sama.</t>
  </si>
  <si>
    <t>Notifikasi in-app untuk order lewat deadline, siap diambil, dan Surat Jalan pending</t>
  </si>
  <si>
    <t>Saat notifikasi diklik, pengguna diarahkan ke route yang benar.</t>
  </si>
  <si>
    <t>Laporan Buku Besar melalui /accounting/ledger</t>
  </si>
  <si>
    <t>Saldo awal, mutasi, dan saldo akhir seimbang.</t>
  </si>
  <si>
    <t>Laporan Cashflow melalui /accounting/reports/cash-flow</t>
  </si>
  <si>
    <t>Total uang masuk dikurangi uang keluar sama dengan perubahan saldo kas.</t>
  </si>
  <si>
    <t>Rekap Pekerjaan melalui /production-board/reports/staff-daily</t>
  </si>
  <si>
    <t>Jumlah pekerjaan setiap teknisi pada periode tertentu dihitung dengan benar.</t>
  </si>
  <si>
    <t>Laporan Order List yang masih menjadi placeholder pada prototype baris 4406</t>
  </si>
  <si>
    <t>Daftar kolom laporan harus ditentukan melalui briefing sebelum implementasi.</t>
  </si>
  <si>
    <t>Export XLSX tanpa dependency CDN</t>
  </si>
  <si>
    <t>Export tetap berjalan saat aplikasi dalam kondisi offline.</t>
  </si>
  <si>
    <t>Offline queue: simpan order saat offline dan sinkronkan ketika online</t>
  </si>
  <si>
    <t>7 - Offline &amp; Rilis</t>
  </si>
  <si>
    <t>Saat jaringan dimatikan, order dapat dibuat. Setelah jaringan aktif, order masuk ke backend tanpa duplikat.</t>
  </si>
  <si>
    <t>Spike: penanganan konflik nomor order saat offline</t>
  </si>
  <si>
    <t>Ada strategi yang disetujui, misalnya nomor sementara dan proses rekonsiliasi.</t>
  </si>
  <si>
    <t>Install prompt dan pengujian installability pada Android serta iOS</t>
  </si>
  <si>
    <t>Tombol Pasang Aplikasi muncul dan instalasi berhasil pada kedua platform.</t>
  </si>
  <si>
    <t>UAT di outlet dan perbaikan hasil temuan</t>
  </si>
  <si>
    <t>Kasir dapat menyelesaikan satu hari operasional penuh tanpa kembali menggunakan sistem lama.</t>
  </si>
  <si>
    <t>Deploy production dan rencana rollback</t>
  </si>
  <si>
    <t>Langkah rollback terdokumentasi dan sudah diuji pada staging.</t>
  </si>
  <si>
    <t>Nama</t>
  </si>
  <si>
    <t>Mulai/Selesai</t>
  </si>
  <si>
    <t>Tujuan Sprint</t>
  </si>
  <si>
    <t>Item</t>
  </si>
  <si>
    <t>Total Poin</t>
  </si>
  <si>
    <t>Sprint 0</t>
  </si>
  <si>
    <t>Membangun fondasi PWA yang dapat di-build, login ke backend, berjalan offline, dan tersedia di staging</t>
  </si>
  <si>
    <t>Belum</t>
  </si>
  <si>
    <t>Sprint 1</t>
  </si>
  <si>
    <t>Menyelesaikan akses pengguna serta master outlet, layanan, harga, metode pembayaran, dan label customer</t>
  </si>
  <si>
    <t>Sprint 2</t>
  </si>
  <si>
    <t>Menyelesaikan alur transaksi kasir dari pemilihan layanan sampai pembayaran dan struk</t>
  </si>
  <si>
    <t>Sprint 3</t>
  </si>
  <si>
    <t>Menyelesaikan receipt, database customer, voucher, dan loyalty</t>
  </si>
  <si>
    <t>Sprint 4</t>
  </si>
  <si>
    <t>Menyelesaikan proses operasional workshop, vendor, pengiriman, tracker, dan WhatsApp</t>
  </si>
  <si>
    <t>Sprint 5</t>
  </si>
  <si>
    <t>Menyelesaikan pengelolaan kas, bank, pindah dana, transaksi, COA, dan sesi kas</t>
  </si>
  <si>
    <t>Sprint 6</t>
  </si>
  <si>
    <t>Menyelesaikan dashboard, notifikasi, laporan keuangan, laporan produksi, dan export</t>
  </si>
  <si>
    <t>Sprint 7</t>
  </si>
  <si>
    <t>Menyelesaikan fitur offline, UAT, instalasi PWA, deployment production, dan rollback</t>
  </si>
  <si>
    <t>Buat route group layar CRAFT dan pasang CraftLayout untuk semua role</t>
  </si>
  <si>
    <t>Semua role masuk ke layout CRAFT. Menu sidebar tetap tersaring sesuai hak akses masing-masing role.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</si>
</sst>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 x14ac:knownFonts="1">
    <font>
      <sz val="11"/>
      <color theme="1"/>
      <name val="DengXian"/>
      <family val="2"/>
    </font>
    <font>
      <sz val="10"/>
      <name val="Calibri"/>
      <family val="2"/>
    </font>
    <font>
      <u/>
      <sz val="11"/>
      <color rgb="FF0000FF"/>
      <name val="DengXi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6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A21B-5A3E-41EE-BE8A-AF67B9895435}">
  <dimension ref="A1:K64"/>
  <sheetViews>
    <sheetView tabSelected="1" topLeftCell="K1" zoomScale="85" zoomScaleNormal="85" workbookViewId="0">
      <selection activeCell="K5" sqref="K5"/>
    </sheetView>
  </sheetViews>
  <sheetFormatPr defaultRowHeight="15" x14ac:dyDescent="0.2"/>
  <cols>
    <col min="1" max="1" width="74.125" bestFit="1" customWidth="1"/>
    <col min="2" max="2" width="22.375" bestFit="1" customWidth="1"/>
    <col min="3" max="3" width="5.75" bestFit="1" customWidth="1"/>
    <col min="4" max="4" width="7.75" bestFit="1" customWidth="1"/>
    <col min="5" max="5" width="7.25" bestFit="1" customWidth="1"/>
    <col min="6" max="6" width="7" bestFit="1" customWidth="1"/>
    <col min="7" max="7" width="4.625" bestFit="1" customWidth="1"/>
    <col min="8" max="8" width="26.25" bestFit="1" customWidth="1"/>
    <col min="9" max="9" width="18.25" bestFit="1" customWidth="1"/>
    <col min="10" max="10" width="12.75" bestFit="1" customWidth="1"/>
    <col min="11" max="11" width="234.875" bestFit="1" customWidth="1"/>
  </cols>
  <sheetData>
    <row r="1" spans="1:11" ht="12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customHeight="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 s="2" t="str">
        <f t="shared" ref="H2:H10" si="0">HYPERLINK("https://bjpx6kv2q5yt.jp.larksuite.com/record/Cb90rp0aqens0rcQDMQjCa4yp8b", "Sprint 0 Fondasi PWA")</f>
        <v>Sprint 0 Fondasi PWA</v>
      </c>
      <c r="I2" t="s">
        <v>17</v>
      </c>
      <c r="J2" s="2"/>
      <c r="K2" t="s">
        <v>18</v>
      </c>
    </row>
    <row r="3" spans="1:11" ht="25.5" customHeight="1" x14ac:dyDescent="0.2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16</v>
      </c>
      <c r="G3">
        <v>5</v>
      </c>
      <c r="H3" s="2" t="str">
        <f t="shared" si="0"/>
        <v>Sprint 0 Fondasi PWA</v>
      </c>
      <c r="I3" t="s">
        <v>17</v>
      </c>
      <c r="J3" s="2"/>
      <c r="K3" t="s">
        <v>23</v>
      </c>
    </row>
    <row r="4" spans="1:11" ht="25.5" customHeight="1" x14ac:dyDescent="0.2">
      <c r="A4" t="s">
        <v>24</v>
      </c>
      <c r="B4" t="s">
        <v>12</v>
      </c>
      <c r="C4" t="s">
        <v>20</v>
      </c>
      <c r="D4" t="s">
        <v>14</v>
      </c>
      <c r="E4" t="s">
        <v>15</v>
      </c>
      <c r="F4" t="s">
        <v>16</v>
      </c>
      <c r="G4">
        <v>3</v>
      </c>
      <c r="H4" s="2" t="str">
        <f t="shared" si="0"/>
        <v>Sprint 0 Fondasi PWA</v>
      </c>
      <c r="J4" s="2"/>
      <c r="K4" t="s">
        <v>25</v>
      </c>
    </row>
    <row r="5" spans="1:11" ht="25.5" customHeight="1" x14ac:dyDescent="0.2">
      <c r="A5" t="s">
        <v>26</v>
      </c>
      <c r="B5" t="s">
        <v>12</v>
      </c>
      <c r="C5" t="s">
        <v>27</v>
      </c>
      <c r="D5" t="s">
        <v>14</v>
      </c>
      <c r="E5" t="s">
        <v>15</v>
      </c>
      <c r="F5" t="s">
        <v>16</v>
      </c>
      <c r="G5">
        <v>5</v>
      </c>
      <c r="H5" s="2" t="str">
        <f t="shared" si="0"/>
        <v>Sprint 0 Fondasi PWA</v>
      </c>
      <c r="J5" s="2"/>
      <c r="K5" t="s">
        <v>28</v>
      </c>
    </row>
    <row r="6" spans="1:11" ht="25.5" customHeight="1" x14ac:dyDescent="0.2">
      <c r="A6" t="s">
        <v>181</v>
      </c>
      <c r="B6" t="s">
        <v>12</v>
      </c>
      <c r="C6" t="s">
        <v>27</v>
      </c>
      <c r="D6" t="s">
        <v>14</v>
      </c>
      <c r="E6" t="s">
        <v>29</v>
      </c>
      <c r="F6" t="s">
        <v>16</v>
      </c>
      <c r="G6">
        <v>3</v>
      </c>
      <c r="H6" s="2" t="str">
        <f t="shared" si="0"/>
        <v>Sprint 0 Fondasi PWA</v>
      </c>
      <c r="J6" s="2"/>
      <c r="K6" t="s">
        <v>182</v>
      </c>
    </row>
    <row r="7" spans="1:11" ht="25.5" customHeight="1" x14ac:dyDescent="0.2">
      <c r="A7" t="s">
        <v>30</v>
      </c>
      <c r="B7" t="s">
        <v>12</v>
      </c>
      <c r="C7" t="s">
        <v>27</v>
      </c>
      <c r="D7" t="s">
        <v>14</v>
      </c>
      <c r="E7" t="s">
        <v>31</v>
      </c>
      <c r="F7" t="s">
        <v>16</v>
      </c>
      <c r="G7">
        <v>3</v>
      </c>
      <c r="H7" s="2" t="str">
        <f t="shared" si="0"/>
        <v>Sprint 0 Fondasi PWA</v>
      </c>
      <c r="J7" s="2"/>
      <c r="K7" t="s">
        <v>32</v>
      </c>
    </row>
    <row r="8" spans="1:11" ht="25.5" customHeight="1" x14ac:dyDescent="0.2">
      <c r="A8" t="s">
        <v>33</v>
      </c>
      <c r="B8" t="s">
        <v>12</v>
      </c>
      <c r="C8" t="s">
        <v>20</v>
      </c>
      <c r="D8" t="s">
        <v>14</v>
      </c>
      <c r="E8" t="s">
        <v>15</v>
      </c>
      <c r="F8" t="s">
        <v>16</v>
      </c>
      <c r="G8">
        <v>8</v>
      </c>
      <c r="H8" s="2" t="str">
        <f t="shared" si="0"/>
        <v>Sprint 0 Fondasi PWA</v>
      </c>
      <c r="I8" t="s">
        <v>17</v>
      </c>
      <c r="J8" s="2"/>
      <c r="K8" t="s">
        <v>34</v>
      </c>
    </row>
    <row r="9" spans="1:11" ht="25.5" customHeight="1" x14ac:dyDescent="0.2">
      <c r="A9" t="s">
        <v>35</v>
      </c>
      <c r="B9" t="s">
        <v>12</v>
      </c>
      <c r="C9" t="s">
        <v>20</v>
      </c>
      <c r="D9" t="s">
        <v>14</v>
      </c>
      <c r="E9" t="s">
        <v>29</v>
      </c>
      <c r="F9" t="s">
        <v>16</v>
      </c>
      <c r="G9">
        <v>3</v>
      </c>
      <c r="H9" s="2" t="str">
        <f t="shared" si="0"/>
        <v>Sprint 0 Fondasi PWA</v>
      </c>
      <c r="I9" t="s">
        <v>17</v>
      </c>
      <c r="J9" s="2"/>
      <c r="K9" t="s">
        <v>36</v>
      </c>
    </row>
    <row r="10" spans="1:11" ht="25.5" customHeight="1" x14ac:dyDescent="0.2">
      <c r="A10" t="s">
        <v>37</v>
      </c>
      <c r="B10" t="s">
        <v>12</v>
      </c>
      <c r="C10" t="s">
        <v>27</v>
      </c>
      <c r="D10" t="s">
        <v>14</v>
      </c>
      <c r="E10" t="s">
        <v>22</v>
      </c>
      <c r="F10" t="s">
        <v>16</v>
      </c>
      <c r="G10">
        <v>3</v>
      </c>
      <c r="H10" s="2" t="str">
        <f t="shared" si="0"/>
        <v>Sprint 0 Fondasi PWA</v>
      </c>
      <c r="I10" t="s">
        <v>17</v>
      </c>
      <c r="J10" s="2"/>
      <c r="K10" t="s">
        <v>38</v>
      </c>
    </row>
    <row r="11" spans="1:11" ht="25.5" customHeight="1" x14ac:dyDescent="0.2">
      <c r="A11" t="s">
        <v>39</v>
      </c>
      <c r="B11" t="s">
        <v>12</v>
      </c>
      <c r="C11" t="s">
        <v>20</v>
      </c>
      <c r="D11" t="s">
        <v>14</v>
      </c>
      <c r="E11" t="s">
        <v>22</v>
      </c>
      <c r="F11" t="s">
        <v>16</v>
      </c>
      <c r="G11">
        <v>1</v>
      </c>
      <c r="H11" s="2" t="str">
        <f>HYPERLINK("https://bjpx6kv2q5yt.jp.larksuite.com/record/Cb90rp0aqens0rcQDMQjCa4yp8b", "Sprint 0 Fondasi PWA")</f>
        <v>Sprint 0 Fondasi PWA</v>
      </c>
      <c r="J11" s="2"/>
      <c r="K11" t="s">
        <v>40</v>
      </c>
    </row>
    <row r="12" spans="1:11" ht="25.5" customHeight="1" x14ac:dyDescent="0.2">
      <c r="A12" t="s">
        <v>41</v>
      </c>
      <c r="B12" t="s">
        <v>42</v>
      </c>
      <c r="C12" t="s">
        <v>13</v>
      </c>
      <c r="D12" t="s">
        <v>43</v>
      </c>
      <c r="E12" t="s">
        <v>22</v>
      </c>
      <c r="F12" t="s">
        <v>16</v>
      </c>
      <c r="G12">
        <v>3</v>
      </c>
      <c r="H12" s="2" t="str">
        <f t="shared" ref="H12:H23" si="1">HYPERLINK("https://bjpx6kv2q5yt.jp.larksuite.com/record/NwGHrlNaAeqMYEctKYVjewl9pph", "Sprint 1 Akses &amp; Master")</f>
        <v>Sprint 1 Akses &amp; Master</v>
      </c>
      <c r="I12" t="s">
        <v>17</v>
      </c>
      <c r="J12" s="2"/>
      <c r="K12" t="s">
        <v>44</v>
      </c>
    </row>
    <row r="13" spans="1:11" ht="25.5" customHeight="1" x14ac:dyDescent="0.2">
      <c r="A13" t="s">
        <v>45</v>
      </c>
      <c r="B13" t="s">
        <v>42</v>
      </c>
      <c r="C13" t="s">
        <v>20</v>
      </c>
      <c r="D13" t="s">
        <v>14</v>
      </c>
      <c r="E13" t="s">
        <v>22</v>
      </c>
      <c r="F13" t="s">
        <v>46</v>
      </c>
      <c r="G13">
        <v>3</v>
      </c>
      <c r="H13" s="2" t="str">
        <f t="shared" si="1"/>
        <v>Sprint 1 Akses &amp; Master</v>
      </c>
      <c r="J13" s="2"/>
      <c r="K13" t="s">
        <v>47</v>
      </c>
    </row>
    <row r="14" spans="1:11" ht="25.5" customHeight="1" x14ac:dyDescent="0.2">
      <c r="A14" t="s">
        <v>48</v>
      </c>
      <c r="B14" t="s">
        <v>42</v>
      </c>
      <c r="C14" t="s">
        <v>49</v>
      </c>
      <c r="D14" t="s">
        <v>14</v>
      </c>
      <c r="E14" t="s">
        <v>22</v>
      </c>
      <c r="F14" t="s">
        <v>16</v>
      </c>
      <c r="G14">
        <v>2</v>
      </c>
      <c r="H14" s="2" t="str">
        <f t="shared" si="1"/>
        <v>Sprint 1 Akses &amp; Master</v>
      </c>
      <c r="J14" s="2"/>
      <c r="K14" t="s">
        <v>50</v>
      </c>
    </row>
    <row r="15" spans="1:11" ht="25.5" customHeight="1" x14ac:dyDescent="0.2">
      <c r="A15" t="s">
        <v>51</v>
      </c>
      <c r="B15" t="s">
        <v>42</v>
      </c>
      <c r="C15" t="s">
        <v>27</v>
      </c>
      <c r="D15" t="s">
        <v>14</v>
      </c>
      <c r="E15" t="s">
        <v>22</v>
      </c>
      <c r="F15" t="s">
        <v>16</v>
      </c>
      <c r="G15">
        <v>3</v>
      </c>
      <c r="H15" s="2" t="str">
        <f t="shared" si="1"/>
        <v>Sprint 1 Akses &amp; Master</v>
      </c>
      <c r="I15" t="s">
        <v>17</v>
      </c>
      <c r="J15" s="2"/>
      <c r="K15" t="s">
        <v>52</v>
      </c>
    </row>
    <row r="16" spans="1:11" ht="25.5" customHeight="1" x14ac:dyDescent="0.2">
      <c r="A16" t="s">
        <v>53</v>
      </c>
      <c r="B16" t="s">
        <v>42</v>
      </c>
      <c r="C16" t="s">
        <v>27</v>
      </c>
      <c r="D16" t="s">
        <v>14</v>
      </c>
      <c r="E16" t="s">
        <v>22</v>
      </c>
      <c r="F16" t="s">
        <v>16</v>
      </c>
      <c r="G16">
        <v>5</v>
      </c>
      <c r="H16" s="2" t="str">
        <f t="shared" si="1"/>
        <v>Sprint 1 Akses &amp; Master</v>
      </c>
      <c r="I16" t="s">
        <v>17</v>
      </c>
      <c r="J16" s="2"/>
      <c r="K16" t="s">
        <v>54</v>
      </c>
    </row>
    <row r="17" spans="1:11" ht="25.5" customHeight="1" x14ac:dyDescent="0.2">
      <c r="A17" t="s">
        <v>55</v>
      </c>
      <c r="B17" t="s">
        <v>42</v>
      </c>
      <c r="C17" t="s">
        <v>27</v>
      </c>
      <c r="D17" t="s">
        <v>14</v>
      </c>
      <c r="E17" t="s">
        <v>22</v>
      </c>
      <c r="F17" t="s">
        <v>16</v>
      </c>
      <c r="G17">
        <v>5</v>
      </c>
      <c r="H17" s="2" t="str">
        <f t="shared" si="1"/>
        <v>Sprint 1 Akses &amp; Master</v>
      </c>
      <c r="I17" t="s">
        <v>17</v>
      </c>
      <c r="J17" s="2"/>
      <c r="K17" t="s">
        <v>56</v>
      </c>
    </row>
    <row r="18" spans="1:11" ht="25.5" customHeight="1" x14ac:dyDescent="0.2">
      <c r="A18" t="s">
        <v>57</v>
      </c>
      <c r="B18" t="s">
        <v>42</v>
      </c>
      <c r="C18" t="s">
        <v>27</v>
      </c>
      <c r="D18" t="s">
        <v>14</v>
      </c>
      <c r="E18" t="s">
        <v>22</v>
      </c>
      <c r="F18" t="s">
        <v>16</v>
      </c>
      <c r="G18">
        <v>5</v>
      </c>
      <c r="H18" s="2" t="str">
        <f t="shared" si="1"/>
        <v>Sprint 1 Akses &amp; Master</v>
      </c>
      <c r="I18" t="s">
        <v>17</v>
      </c>
      <c r="J18" s="2"/>
      <c r="K18" t="s">
        <v>58</v>
      </c>
    </row>
    <row r="19" spans="1:11" ht="25.5" customHeight="1" x14ac:dyDescent="0.2">
      <c r="A19" t="s">
        <v>59</v>
      </c>
      <c r="B19" t="s">
        <v>42</v>
      </c>
      <c r="C19" t="s">
        <v>27</v>
      </c>
      <c r="D19" t="s">
        <v>14</v>
      </c>
      <c r="E19" t="s">
        <v>22</v>
      </c>
      <c r="F19" t="s">
        <v>46</v>
      </c>
      <c r="G19">
        <v>3</v>
      </c>
      <c r="H19" s="2" t="str">
        <f t="shared" si="1"/>
        <v>Sprint 1 Akses &amp; Master</v>
      </c>
      <c r="I19" t="s">
        <v>17</v>
      </c>
      <c r="J19" s="2"/>
      <c r="K19" t="s">
        <v>60</v>
      </c>
    </row>
    <row r="20" spans="1:11" ht="25.5" customHeight="1" x14ac:dyDescent="0.2">
      <c r="A20" t="s">
        <v>61</v>
      </c>
      <c r="B20" t="s">
        <v>42</v>
      </c>
      <c r="C20" t="s">
        <v>27</v>
      </c>
      <c r="D20" t="s">
        <v>43</v>
      </c>
      <c r="E20" t="s">
        <v>22</v>
      </c>
      <c r="F20" t="s">
        <v>16</v>
      </c>
      <c r="G20">
        <v>5</v>
      </c>
      <c r="H20" s="2" t="str">
        <f t="shared" si="1"/>
        <v>Sprint 1 Akses &amp; Master</v>
      </c>
      <c r="I20" t="s">
        <v>17</v>
      </c>
      <c r="J20" s="2"/>
      <c r="K20" t="s">
        <v>62</v>
      </c>
    </row>
    <row r="21" spans="1:11" ht="25.5" customHeight="1" x14ac:dyDescent="0.2">
      <c r="A21" t="s">
        <v>63</v>
      </c>
      <c r="B21" t="s">
        <v>42</v>
      </c>
      <c r="C21" t="s">
        <v>27</v>
      </c>
      <c r="D21" t="s">
        <v>14</v>
      </c>
      <c r="E21" t="s">
        <v>22</v>
      </c>
      <c r="F21" t="s">
        <v>16</v>
      </c>
      <c r="G21">
        <v>3</v>
      </c>
      <c r="H21" s="2" t="str">
        <f t="shared" si="1"/>
        <v>Sprint 1 Akses &amp; Master</v>
      </c>
      <c r="I21" t="s">
        <v>17</v>
      </c>
      <c r="J21" s="2"/>
      <c r="K21" t="s">
        <v>64</v>
      </c>
    </row>
    <row r="22" spans="1:11" ht="25.5" customHeight="1" x14ac:dyDescent="0.2">
      <c r="A22" t="s">
        <v>65</v>
      </c>
      <c r="B22" t="s">
        <v>42</v>
      </c>
      <c r="C22" t="s">
        <v>27</v>
      </c>
      <c r="D22" t="s">
        <v>43</v>
      </c>
      <c r="E22" t="s">
        <v>22</v>
      </c>
      <c r="F22" t="s">
        <v>46</v>
      </c>
      <c r="G22">
        <v>3</v>
      </c>
      <c r="H22" s="2" t="str">
        <f t="shared" si="1"/>
        <v>Sprint 1 Akses &amp; Master</v>
      </c>
      <c r="I22" t="s">
        <v>17</v>
      </c>
      <c r="J22" s="2"/>
      <c r="K22" t="s">
        <v>66</v>
      </c>
    </row>
    <row r="23" spans="1:11" ht="25.5" customHeight="1" x14ac:dyDescent="0.2">
      <c r="A23" t="s">
        <v>67</v>
      </c>
      <c r="B23" t="s">
        <v>42</v>
      </c>
      <c r="C23" t="s">
        <v>27</v>
      </c>
      <c r="D23" t="s">
        <v>14</v>
      </c>
      <c r="E23" t="s">
        <v>22</v>
      </c>
      <c r="F23" t="s">
        <v>46</v>
      </c>
      <c r="G23">
        <v>2</v>
      </c>
      <c r="H23" s="2" t="str">
        <f t="shared" si="1"/>
        <v>Sprint 1 Akses &amp; Master</v>
      </c>
      <c r="I23" t="s">
        <v>17</v>
      </c>
      <c r="J23" s="2"/>
      <c r="K23" t="s">
        <v>68</v>
      </c>
    </row>
    <row r="24" spans="1:11" ht="25.5" customHeight="1" x14ac:dyDescent="0.2">
      <c r="A24" t="s">
        <v>69</v>
      </c>
      <c r="B24" t="s">
        <v>70</v>
      </c>
      <c r="C24" t="s">
        <v>13</v>
      </c>
      <c r="D24" t="s">
        <v>14</v>
      </c>
      <c r="E24" t="s">
        <v>22</v>
      </c>
      <c r="F24" t="s">
        <v>71</v>
      </c>
      <c r="G24">
        <v>8</v>
      </c>
      <c r="H24" s="2" t="str">
        <f t="shared" ref="H24:H31" si="2">HYPERLINK("https://bjpx6kv2q5yt.jp.larksuite.com/record/Hd6zrQnDieOj6MctxU8jKarfpcc", "Sprint 2 Kasir/POS")</f>
        <v>Sprint 2 Kasir/POS</v>
      </c>
      <c r="J24" s="2"/>
      <c r="K24" t="s">
        <v>72</v>
      </c>
    </row>
    <row r="25" spans="1:11" ht="25.5" customHeight="1" x14ac:dyDescent="0.2">
      <c r="A25" t="s">
        <v>73</v>
      </c>
      <c r="B25" t="s">
        <v>70</v>
      </c>
      <c r="C25" t="s">
        <v>27</v>
      </c>
      <c r="D25" t="s">
        <v>14</v>
      </c>
      <c r="E25" t="s">
        <v>22</v>
      </c>
      <c r="F25" t="s">
        <v>16</v>
      </c>
      <c r="G25">
        <v>5</v>
      </c>
      <c r="H25" s="2" t="str">
        <f t="shared" si="2"/>
        <v>Sprint 2 Kasir/POS</v>
      </c>
      <c r="I25" t="s">
        <v>17</v>
      </c>
      <c r="J25" s="2"/>
      <c r="K25" t="s">
        <v>74</v>
      </c>
    </row>
    <row r="26" spans="1:11" ht="25.5" customHeight="1" x14ac:dyDescent="0.2">
      <c r="A26" t="s">
        <v>75</v>
      </c>
      <c r="B26" t="s">
        <v>70</v>
      </c>
      <c r="C26" t="s">
        <v>27</v>
      </c>
      <c r="D26" t="s">
        <v>14</v>
      </c>
      <c r="E26" t="s">
        <v>22</v>
      </c>
      <c r="F26" t="s">
        <v>16</v>
      </c>
      <c r="G26">
        <v>5</v>
      </c>
      <c r="H26" s="2" t="str">
        <f t="shared" si="2"/>
        <v>Sprint 2 Kasir/POS</v>
      </c>
      <c r="I26" t="s">
        <v>17</v>
      </c>
      <c r="J26" s="2"/>
      <c r="K26" t="s">
        <v>76</v>
      </c>
    </row>
    <row r="27" spans="1:11" ht="25.5" customHeight="1" x14ac:dyDescent="0.2">
      <c r="A27" t="s">
        <v>77</v>
      </c>
      <c r="B27" t="s">
        <v>70</v>
      </c>
      <c r="C27" t="s">
        <v>27</v>
      </c>
      <c r="D27" t="s">
        <v>14</v>
      </c>
      <c r="E27" t="s">
        <v>22</v>
      </c>
      <c r="F27" t="s">
        <v>16</v>
      </c>
      <c r="G27">
        <v>3</v>
      </c>
      <c r="H27" s="2" t="str">
        <f t="shared" si="2"/>
        <v>Sprint 2 Kasir/POS</v>
      </c>
      <c r="I27" t="s">
        <v>17</v>
      </c>
      <c r="J27" s="2"/>
      <c r="K27" t="s">
        <v>78</v>
      </c>
    </row>
    <row r="28" spans="1:11" ht="25.5" customHeight="1" x14ac:dyDescent="0.2">
      <c r="A28" t="s">
        <v>79</v>
      </c>
      <c r="B28" t="s">
        <v>70</v>
      </c>
      <c r="C28" t="s">
        <v>27</v>
      </c>
      <c r="D28" t="s">
        <v>14</v>
      </c>
      <c r="E28" t="s">
        <v>22</v>
      </c>
      <c r="F28" t="s">
        <v>46</v>
      </c>
      <c r="G28">
        <v>3</v>
      </c>
      <c r="H28" s="2" t="str">
        <f t="shared" si="2"/>
        <v>Sprint 2 Kasir/POS</v>
      </c>
      <c r="I28" t="s">
        <v>17</v>
      </c>
      <c r="J28" s="2"/>
      <c r="K28" t="s">
        <v>80</v>
      </c>
    </row>
    <row r="29" spans="1:11" ht="25.5" customHeight="1" x14ac:dyDescent="0.2">
      <c r="A29" t="s">
        <v>81</v>
      </c>
      <c r="B29" t="s">
        <v>70</v>
      </c>
      <c r="C29" t="s">
        <v>27</v>
      </c>
      <c r="D29" t="s">
        <v>14</v>
      </c>
      <c r="E29" t="s">
        <v>22</v>
      </c>
      <c r="F29" t="s">
        <v>16</v>
      </c>
      <c r="G29">
        <v>5</v>
      </c>
      <c r="H29" s="2" t="str">
        <f t="shared" si="2"/>
        <v>Sprint 2 Kasir/POS</v>
      </c>
      <c r="I29" t="s">
        <v>17</v>
      </c>
      <c r="J29" s="2"/>
      <c r="K29" t="s">
        <v>82</v>
      </c>
    </row>
    <row r="30" spans="1:11" ht="25.5" customHeight="1" x14ac:dyDescent="0.2">
      <c r="A30" t="s">
        <v>83</v>
      </c>
      <c r="B30" t="s">
        <v>70</v>
      </c>
      <c r="C30" t="s">
        <v>27</v>
      </c>
      <c r="D30" t="s">
        <v>14</v>
      </c>
      <c r="E30" t="s">
        <v>22</v>
      </c>
      <c r="F30" t="s">
        <v>16</v>
      </c>
      <c r="G30">
        <v>5</v>
      </c>
      <c r="H30" s="2" t="str">
        <f t="shared" si="2"/>
        <v>Sprint 2 Kasir/POS</v>
      </c>
      <c r="I30" t="s">
        <v>17</v>
      </c>
      <c r="J30" s="2"/>
      <c r="K30" t="s">
        <v>84</v>
      </c>
    </row>
    <row r="31" spans="1:11" ht="25.5" customHeight="1" x14ac:dyDescent="0.2">
      <c r="A31" t="s">
        <v>85</v>
      </c>
      <c r="B31" t="s">
        <v>70</v>
      </c>
      <c r="C31" t="s">
        <v>27</v>
      </c>
      <c r="D31" t="s">
        <v>14</v>
      </c>
      <c r="E31" t="s">
        <v>22</v>
      </c>
      <c r="F31" t="s">
        <v>46</v>
      </c>
      <c r="G31">
        <v>5</v>
      </c>
      <c r="H31" s="2" t="str">
        <f t="shared" si="2"/>
        <v>Sprint 2 Kasir/POS</v>
      </c>
      <c r="I31" t="s">
        <v>17</v>
      </c>
      <c r="J31" s="2"/>
      <c r="K31" t="s">
        <v>86</v>
      </c>
    </row>
    <row r="32" spans="1:11" ht="25.5" customHeight="1" x14ac:dyDescent="0.2">
      <c r="A32" t="s">
        <v>87</v>
      </c>
      <c r="B32" t="s">
        <v>88</v>
      </c>
      <c r="C32" t="s">
        <v>27</v>
      </c>
      <c r="D32" t="s">
        <v>14</v>
      </c>
      <c r="E32" t="s">
        <v>22</v>
      </c>
      <c r="F32" t="s">
        <v>16</v>
      </c>
      <c r="G32">
        <v>5</v>
      </c>
      <c r="H32" s="2" t="str">
        <f t="shared" ref="H32:H37" si="3">HYPERLINK("https://bjpx6kv2q5yt.jp.larksuite.com/record/PSetra6aOexRRRcvIqgj7DNnpHd", "Sprint 3 Receipt &amp; Customer")</f>
        <v>Sprint 3 Receipt &amp; Customer</v>
      </c>
      <c r="I32" t="s">
        <v>17</v>
      </c>
      <c r="J32" s="2"/>
      <c r="K32" t="s">
        <v>89</v>
      </c>
    </row>
    <row r="33" spans="1:11" ht="25.5" customHeight="1" x14ac:dyDescent="0.2">
      <c r="A33" t="s">
        <v>90</v>
      </c>
      <c r="B33" t="s">
        <v>88</v>
      </c>
      <c r="C33" t="s">
        <v>27</v>
      </c>
      <c r="D33" t="s">
        <v>14</v>
      </c>
      <c r="E33" t="s">
        <v>22</v>
      </c>
      <c r="F33" t="s">
        <v>16</v>
      </c>
      <c r="G33">
        <v>5</v>
      </c>
      <c r="H33" s="2" t="str">
        <f t="shared" si="3"/>
        <v>Sprint 3 Receipt &amp; Customer</v>
      </c>
      <c r="I33" t="s">
        <v>17</v>
      </c>
      <c r="J33" s="2"/>
      <c r="K33" t="s">
        <v>91</v>
      </c>
    </row>
    <row r="34" spans="1:11" ht="25.5" customHeight="1" x14ac:dyDescent="0.2">
      <c r="A34" t="s">
        <v>92</v>
      </c>
      <c r="B34" t="s">
        <v>88</v>
      </c>
      <c r="C34" t="s">
        <v>27</v>
      </c>
      <c r="D34" t="s">
        <v>14</v>
      </c>
      <c r="E34" t="s">
        <v>22</v>
      </c>
      <c r="F34" t="s">
        <v>16</v>
      </c>
      <c r="G34">
        <v>3</v>
      </c>
      <c r="H34" s="2" t="str">
        <f t="shared" si="3"/>
        <v>Sprint 3 Receipt &amp; Customer</v>
      </c>
      <c r="I34" t="s">
        <v>17</v>
      </c>
      <c r="J34" s="2"/>
      <c r="K34" t="s">
        <v>93</v>
      </c>
    </row>
    <row r="35" spans="1:11" ht="25.5" customHeight="1" x14ac:dyDescent="0.2">
      <c r="A35" t="s">
        <v>94</v>
      </c>
      <c r="B35" t="s">
        <v>88</v>
      </c>
      <c r="C35" t="s">
        <v>27</v>
      </c>
      <c r="D35" t="s">
        <v>14</v>
      </c>
      <c r="E35" t="s">
        <v>22</v>
      </c>
      <c r="F35" t="s">
        <v>46</v>
      </c>
      <c r="G35">
        <v>5</v>
      </c>
      <c r="H35" s="2" t="str">
        <f t="shared" si="3"/>
        <v>Sprint 3 Receipt &amp; Customer</v>
      </c>
      <c r="I35" t="s">
        <v>17</v>
      </c>
      <c r="J35" s="2"/>
      <c r="K35" t="s">
        <v>95</v>
      </c>
    </row>
    <row r="36" spans="1:11" ht="25.5" customHeight="1" x14ac:dyDescent="0.2">
      <c r="A36" t="s">
        <v>96</v>
      </c>
      <c r="B36" t="s">
        <v>88</v>
      </c>
      <c r="C36" t="s">
        <v>27</v>
      </c>
      <c r="D36" t="s">
        <v>14</v>
      </c>
      <c r="E36" t="s">
        <v>22</v>
      </c>
      <c r="F36" t="s">
        <v>46</v>
      </c>
      <c r="G36">
        <v>5</v>
      </c>
      <c r="H36" s="2" t="str">
        <f t="shared" si="3"/>
        <v>Sprint 3 Receipt &amp; Customer</v>
      </c>
      <c r="I36" t="s">
        <v>17</v>
      </c>
      <c r="J36" s="2"/>
      <c r="K36" t="s">
        <v>97</v>
      </c>
    </row>
    <row r="37" spans="1:11" ht="25.5" customHeight="1" x14ac:dyDescent="0.2">
      <c r="A37" t="s">
        <v>98</v>
      </c>
      <c r="B37" t="s">
        <v>88</v>
      </c>
      <c r="C37" t="s">
        <v>13</v>
      </c>
      <c r="D37" t="s">
        <v>43</v>
      </c>
      <c r="E37" t="s">
        <v>22</v>
      </c>
      <c r="F37" t="s">
        <v>99</v>
      </c>
      <c r="G37">
        <v>5</v>
      </c>
      <c r="H37" s="2" t="str">
        <f t="shared" si="3"/>
        <v>Sprint 3 Receipt &amp; Customer</v>
      </c>
      <c r="I37" t="s">
        <v>17</v>
      </c>
      <c r="J37" s="2"/>
      <c r="K37" t="s">
        <v>100</v>
      </c>
    </row>
    <row r="38" spans="1:11" ht="25.5" customHeight="1" x14ac:dyDescent="0.2">
      <c r="A38" t="s">
        <v>101</v>
      </c>
      <c r="B38" t="s">
        <v>102</v>
      </c>
      <c r="C38" t="s">
        <v>27</v>
      </c>
      <c r="D38" t="s">
        <v>14</v>
      </c>
      <c r="E38" t="s">
        <v>22</v>
      </c>
      <c r="F38" t="s">
        <v>16</v>
      </c>
      <c r="G38">
        <v>5</v>
      </c>
      <c r="H38" s="2" t="str">
        <f t="shared" ref="H38:H45" si="4">HYPERLINK("https://bjpx6kv2q5yt.jp.larksuite.com/record/RTi7rgdfrepXtccxIkcjJbxzpff", "Sprint 4 Operasional")</f>
        <v>Sprint 4 Operasional</v>
      </c>
      <c r="I38" t="s">
        <v>17</v>
      </c>
      <c r="J38" s="2"/>
      <c r="K38" t="s">
        <v>103</v>
      </c>
    </row>
    <row r="39" spans="1:11" ht="25.5" customHeight="1" x14ac:dyDescent="0.2">
      <c r="A39" t="s">
        <v>104</v>
      </c>
      <c r="B39" t="s">
        <v>102</v>
      </c>
      <c r="C39" t="s">
        <v>27</v>
      </c>
      <c r="D39" t="s">
        <v>43</v>
      </c>
      <c r="E39" t="s">
        <v>22</v>
      </c>
      <c r="F39" t="s">
        <v>16</v>
      </c>
      <c r="G39">
        <v>5</v>
      </c>
      <c r="H39" s="2" t="str">
        <f t="shared" si="4"/>
        <v>Sprint 4 Operasional</v>
      </c>
      <c r="I39" t="s">
        <v>17</v>
      </c>
      <c r="J39" s="2"/>
      <c r="K39" t="s">
        <v>105</v>
      </c>
    </row>
    <row r="40" spans="1:11" ht="25.5" customHeight="1" x14ac:dyDescent="0.2">
      <c r="A40" t="s">
        <v>106</v>
      </c>
      <c r="B40" t="s">
        <v>102</v>
      </c>
      <c r="C40" t="s">
        <v>27</v>
      </c>
      <c r="D40" t="s">
        <v>14</v>
      </c>
      <c r="E40" t="s">
        <v>22</v>
      </c>
      <c r="F40" t="s">
        <v>16</v>
      </c>
      <c r="G40">
        <v>8</v>
      </c>
      <c r="H40" s="2" t="str">
        <f t="shared" si="4"/>
        <v>Sprint 4 Operasional</v>
      </c>
      <c r="I40" t="s">
        <v>17</v>
      </c>
      <c r="J40" s="2"/>
      <c r="K40" t="s">
        <v>107</v>
      </c>
    </row>
    <row r="41" spans="1:11" ht="25.5" customHeight="1" x14ac:dyDescent="0.2">
      <c r="A41" t="s">
        <v>108</v>
      </c>
      <c r="B41" t="s">
        <v>102</v>
      </c>
      <c r="C41" t="s">
        <v>27</v>
      </c>
      <c r="D41" t="s">
        <v>14</v>
      </c>
      <c r="E41" t="s">
        <v>22</v>
      </c>
      <c r="F41" t="s">
        <v>46</v>
      </c>
      <c r="G41">
        <v>3</v>
      </c>
      <c r="H41" s="2" t="str">
        <f t="shared" si="4"/>
        <v>Sprint 4 Operasional</v>
      </c>
      <c r="I41" t="s">
        <v>17</v>
      </c>
      <c r="J41" s="2"/>
      <c r="K41" t="s">
        <v>109</v>
      </c>
    </row>
    <row r="42" spans="1:11" ht="25.5" customHeight="1" x14ac:dyDescent="0.2">
      <c r="A42" t="s">
        <v>110</v>
      </c>
      <c r="B42" t="s">
        <v>102</v>
      </c>
      <c r="C42" t="s">
        <v>27</v>
      </c>
      <c r="D42" t="s">
        <v>43</v>
      </c>
      <c r="E42" t="s">
        <v>22</v>
      </c>
      <c r="F42" t="s">
        <v>16</v>
      </c>
      <c r="G42">
        <v>5</v>
      </c>
      <c r="H42" s="2" t="str">
        <f t="shared" si="4"/>
        <v>Sprint 4 Operasional</v>
      </c>
      <c r="I42" t="s">
        <v>17</v>
      </c>
      <c r="J42" s="2"/>
      <c r="K42" t="s">
        <v>111</v>
      </c>
    </row>
    <row r="43" spans="1:11" ht="25.5" customHeight="1" x14ac:dyDescent="0.2">
      <c r="A43" t="s">
        <v>112</v>
      </c>
      <c r="B43" t="s">
        <v>102</v>
      </c>
      <c r="C43" t="s">
        <v>27</v>
      </c>
      <c r="D43" t="s">
        <v>14</v>
      </c>
      <c r="E43" t="s">
        <v>22</v>
      </c>
      <c r="F43" t="s">
        <v>16</v>
      </c>
      <c r="G43">
        <v>5</v>
      </c>
      <c r="H43" s="2" t="str">
        <f t="shared" si="4"/>
        <v>Sprint 4 Operasional</v>
      </c>
      <c r="I43" t="s">
        <v>17</v>
      </c>
      <c r="J43" s="2"/>
      <c r="K43" t="s">
        <v>113</v>
      </c>
    </row>
    <row r="44" spans="1:11" ht="25.5" customHeight="1" x14ac:dyDescent="0.2">
      <c r="A44" t="s">
        <v>114</v>
      </c>
      <c r="B44" t="s">
        <v>102</v>
      </c>
      <c r="C44" t="s">
        <v>27</v>
      </c>
      <c r="D44" t="s">
        <v>14</v>
      </c>
      <c r="E44" t="s">
        <v>22</v>
      </c>
      <c r="F44" t="s">
        <v>46</v>
      </c>
      <c r="G44">
        <v>3</v>
      </c>
      <c r="H44" s="2" t="str">
        <f t="shared" si="4"/>
        <v>Sprint 4 Operasional</v>
      </c>
      <c r="I44" t="s">
        <v>17</v>
      </c>
      <c r="J44" s="2"/>
      <c r="K44" t="s">
        <v>115</v>
      </c>
    </row>
    <row r="45" spans="1:11" ht="25.5" customHeight="1" x14ac:dyDescent="0.2">
      <c r="A45" t="s">
        <v>116</v>
      </c>
      <c r="B45" t="s">
        <v>102</v>
      </c>
      <c r="C45" t="s">
        <v>27</v>
      </c>
      <c r="D45" t="s">
        <v>14</v>
      </c>
      <c r="E45" t="s">
        <v>22</v>
      </c>
      <c r="F45" t="s">
        <v>46</v>
      </c>
      <c r="G45">
        <v>3</v>
      </c>
      <c r="H45" s="2" t="str">
        <f t="shared" si="4"/>
        <v>Sprint 4 Operasional</v>
      </c>
      <c r="I45" t="s">
        <v>17</v>
      </c>
      <c r="J45" s="2"/>
      <c r="K45" t="s">
        <v>117</v>
      </c>
    </row>
    <row r="46" spans="1:11" ht="25.5" customHeight="1" x14ac:dyDescent="0.2">
      <c r="A46" t="s">
        <v>118</v>
      </c>
      <c r="B46" t="s">
        <v>119</v>
      </c>
      <c r="C46" t="s">
        <v>27</v>
      </c>
      <c r="D46" t="s">
        <v>14</v>
      </c>
      <c r="E46" t="s">
        <v>22</v>
      </c>
      <c r="F46" t="s">
        <v>16</v>
      </c>
      <c r="G46">
        <v>5</v>
      </c>
      <c r="H46" s="2" t="str">
        <f t="shared" ref="H46:H52" si="5">HYPERLINK("https://bjpx6kv2q5yt.jp.larksuite.com/record/Ve4CrseWSerQ7Nc1CCpjwLMCpKh", "Sprint 5 Keuangan")</f>
        <v>Sprint 5 Keuangan</v>
      </c>
      <c r="I46" t="s">
        <v>17</v>
      </c>
      <c r="J46" s="2"/>
      <c r="K46" t="s">
        <v>120</v>
      </c>
    </row>
    <row r="47" spans="1:11" ht="25.5" customHeight="1" x14ac:dyDescent="0.2">
      <c r="A47" t="s">
        <v>121</v>
      </c>
      <c r="B47" t="s">
        <v>119</v>
      </c>
      <c r="C47" t="s">
        <v>27</v>
      </c>
      <c r="D47" t="s">
        <v>14</v>
      </c>
      <c r="E47" t="s">
        <v>22</v>
      </c>
      <c r="F47" t="s">
        <v>16</v>
      </c>
      <c r="G47">
        <v>5</v>
      </c>
      <c r="H47" s="2" t="str">
        <f t="shared" si="5"/>
        <v>Sprint 5 Keuangan</v>
      </c>
      <c r="I47" t="s">
        <v>17</v>
      </c>
      <c r="J47" s="2"/>
      <c r="K47" t="s">
        <v>122</v>
      </c>
    </row>
    <row r="48" spans="1:11" ht="25.5" customHeight="1" x14ac:dyDescent="0.2">
      <c r="A48" t="s">
        <v>123</v>
      </c>
      <c r="B48" t="s">
        <v>119</v>
      </c>
      <c r="C48" t="s">
        <v>27</v>
      </c>
      <c r="D48" t="s">
        <v>43</v>
      </c>
      <c r="E48" t="s">
        <v>22</v>
      </c>
      <c r="F48" t="s">
        <v>16</v>
      </c>
      <c r="G48">
        <v>3</v>
      </c>
      <c r="H48" s="2" t="str">
        <f t="shared" si="5"/>
        <v>Sprint 5 Keuangan</v>
      </c>
      <c r="I48" t="s">
        <v>17</v>
      </c>
      <c r="J48" s="2"/>
      <c r="K48" t="s">
        <v>124</v>
      </c>
    </row>
    <row r="49" spans="1:11" ht="25.5" customHeight="1" x14ac:dyDescent="0.2">
      <c r="A49" t="s">
        <v>125</v>
      </c>
      <c r="B49" t="s">
        <v>119</v>
      </c>
      <c r="C49" t="s">
        <v>27</v>
      </c>
      <c r="D49" t="s">
        <v>14</v>
      </c>
      <c r="E49" t="s">
        <v>22</v>
      </c>
      <c r="F49" t="s">
        <v>16</v>
      </c>
      <c r="G49">
        <v>3</v>
      </c>
      <c r="H49" s="2" t="str">
        <f t="shared" si="5"/>
        <v>Sprint 5 Keuangan</v>
      </c>
      <c r="I49" t="s">
        <v>17</v>
      </c>
      <c r="J49" s="2"/>
      <c r="K49" t="s">
        <v>126</v>
      </c>
    </row>
    <row r="50" spans="1:11" ht="25.5" customHeight="1" x14ac:dyDescent="0.2">
      <c r="A50" t="s">
        <v>127</v>
      </c>
      <c r="B50" t="s">
        <v>119</v>
      </c>
      <c r="C50" t="s">
        <v>27</v>
      </c>
      <c r="D50" t="s">
        <v>14</v>
      </c>
      <c r="E50" t="s">
        <v>22</v>
      </c>
      <c r="F50" t="s">
        <v>46</v>
      </c>
      <c r="G50">
        <v>3</v>
      </c>
      <c r="H50" s="2" t="str">
        <f t="shared" si="5"/>
        <v>Sprint 5 Keuangan</v>
      </c>
      <c r="I50" t="s">
        <v>17</v>
      </c>
      <c r="J50" s="2"/>
      <c r="K50" t="s">
        <v>128</v>
      </c>
    </row>
    <row r="51" spans="1:11" ht="25.5" customHeight="1" x14ac:dyDescent="0.2">
      <c r="A51" t="s">
        <v>129</v>
      </c>
      <c r="B51" t="s">
        <v>119</v>
      </c>
      <c r="C51" t="s">
        <v>27</v>
      </c>
      <c r="D51" t="s">
        <v>14</v>
      </c>
      <c r="E51" t="s">
        <v>22</v>
      </c>
      <c r="F51" t="s">
        <v>46</v>
      </c>
      <c r="G51">
        <v>5</v>
      </c>
      <c r="H51" s="2" t="str">
        <f t="shared" si="5"/>
        <v>Sprint 5 Keuangan</v>
      </c>
      <c r="I51" t="s">
        <v>17</v>
      </c>
      <c r="J51" s="2"/>
      <c r="K51" t="s">
        <v>130</v>
      </c>
    </row>
    <row r="52" spans="1:11" ht="25.5" customHeight="1" x14ac:dyDescent="0.2">
      <c r="A52" t="s">
        <v>131</v>
      </c>
      <c r="B52" t="s">
        <v>119</v>
      </c>
      <c r="C52" t="s">
        <v>27</v>
      </c>
      <c r="D52" t="s">
        <v>14</v>
      </c>
      <c r="E52" t="s">
        <v>22</v>
      </c>
      <c r="F52" t="s">
        <v>99</v>
      </c>
      <c r="G52">
        <v>5</v>
      </c>
      <c r="H52" s="2" t="str">
        <f t="shared" si="5"/>
        <v>Sprint 5 Keuangan</v>
      </c>
      <c r="I52" t="s">
        <v>17</v>
      </c>
      <c r="J52" s="2"/>
      <c r="K52" t="s">
        <v>132</v>
      </c>
    </row>
    <row r="53" spans="1:11" ht="25.5" customHeight="1" x14ac:dyDescent="0.2">
      <c r="A53" t="s">
        <v>133</v>
      </c>
      <c r="B53" t="s">
        <v>134</v>
      </c>
      <c r="C53" t="s">
        <v>27</v>
      </c>
      <c r="D53" t="s">
        <v>14</v>
      </c>
      <c r="E53" t="s">
        <v>22</v>
      </c>
      <c r="F53" t="s">
        <v>16</v>
      </c>
      <c r="G53">
        <v>5</v>
      </c>
      <c r="H53" s="2" t="str">
        <f t="shared" ref="H53:H59" si="6">HYPERLINK("https://bjpx6kv2q5yt.jp.larksuite.com/record/Kt9urvY9aekg1sc1zGxjMnVHp6b", "Sprint 6 Laporan &amp; Dashboard")</f>
        <v>Sprint 6 Laporan &amp; Dashboard</v>
      </c>
      <c r="I53" t="s">
        <v>17</v>
      </c>
      <c r="J53" s="2"/>
      <c r="K53" t="s">
        <v>135</v>
      </c>
    </row>
    <row r="54" spans="1:11" ht="25.5" customHeight="1" x14ac:dyDescent="0.2">
      <c r="A54" t="s">
        <v>136</v>
      </c>
      <c r="B54" t="s">
        <v>134</v>
      </c>
      <c r="C54" t="s">
        <v>27</v>
      </c>
      <c r="D54" t="s">
        <v>14</v>
      </c>
      <c r="E54" t="s">
        <v>22</v>
      </c>
      <c r="F54" t="s">
        <v>46</v>
      </c>
      <c r="G54">
        <v>3</v>
      </c>
      <c r="H54" s="2" t="str">
        <f t="shared" si="6"/>
        <v>Sprint 6 Laporan &amp; Dashboard</v>
      </c>
      <c r="I54" t="s">
        <v>17</v>
      </c>
      <c r="J54" s="2"/>
      <c r="K54" t="s">
        <v>137</v>
      </c>
    </row>
    <row r="55" spans="1:11" ht="25.5" customHeight="1" x14ac:dyDescent="0.2">
      <c r="A55" t="s">
        <v>138</v>
      </c>
      <c r="B55" t="s">
        <v>134</v>
      </c>
      <c r="C55" t="s">
        <v>27</v>
      </c>
      <c r="D55" t="s">
        <v>14</v>
      </c>
      <c r="E55" t="s">
        <v>22</v>
      </c>
      <c r="F55" t="s">
        <v>46</v>
      </c>
      <c r="G55">
        <v>5</v>
      </c>
      <c r="H55" s="2" t="str">
        <f t="shared" si="6"/>
        <v>Sprint 6 Laporan &amp; Dashboard</v>
      </c>
      <c r="I55" t="s">
        <v>17</v>
      </c>
      <c r="J55" s="2"/>
      <c r="K55" t="s">
        <v>139</v>
      </c>
    </row>
    <row r="56" spans="1:11" ht="25.5" customHeight="1" x14ac:dyDescent="0.2">
      <c r="A56" t="s">
        <v>140</v>
      </c>
      <c r="B56" t="s">
        <v>134</v>
      </c>
      <c r="C56" t="s">
        <v>27</v>
      </c>
      <c r="D56" t="s">
        <v>14</v>
      </c>
      <c r="E56" t="s">
        <v>22</v>
      </c>
      <c r="F56" t="s">
        <v>46</v>
      </c>
      <c r="G56">
        <v>3</v>
      </c>
      <c r="H56" s="2" t="str">
        <f t="shared" si="6"/>
        <v>Sprint 6 Laporan &amp; Dashboard</v>
      </c>
      <c r="I56" t="s">
        <v>17</v>
      </c>
      <c r="J56" s="2"/>
      <c r="K56" t="s">
        <v>141</v>
      </c>
    </row>
    <row r="57" spans="1:11" ht="25.5" customHeight="1" x14ac:dyDescent="0.2">
      <c r="A57" t="s">
        <v>142</v>
      </c>
      <c r="B57" t="s">
        <v>134</v>
      </c>
      <c r="C57" t="s">
        <v>27</v>
      </c>
      <c r="D57" t="s">
        <v>14</v>
      </c>
      <c r="E57" t="s">
        <v>22</v>
      </c>
      <c r="F57" t="s">
        <v>46</v>
      </c>
      <c r="G57">
        <v>3</v>
      </c>
      <c r="H57" s="2" t="str">
        <f t="shared" si="6"/>
        <v>Sprint 6 Laporan &amp; Dashboard</v>
      </c>
      <c r="I57" t="s">
        <v>17</v>
      </c>
      <c r="J57" s="2"/>
      <c r="K57" t="s">
        <v>143</v>
      </c>
    </row>
    <row r="58" spans="1:11" ht="25.5" customHeight="1" x14ac:dyDescent="0.2">
      <c r="A58" t="s">
        <v>144</v>
      </c>
      <c r="B58" t="s">
        <v>134</v>
      </c>
      <c r="C58" t="s">
        <v>27</v>
      </c>
      <c r="D58" t="s">
        <v>14</v>
      </c>
      <c r="E58" t="s">
        <v>22</v>
      </c>
      <c r="F58" t="s">
        <v>46</v>
      </c>
      <c r="G58">
        <v>3</v>
      </c>
      <c r="H58" s="2" t="str">
        <f t="shared" si="6"/>
        <v>Sprint 6 Laporan &amp; Dashboard</v>
      </c>
      <c r="I58" t="s">
        <v>17</v>
      </c>
      <c r="J58" s="2"/>
      <c r="K58" t="s">
        <v>145</v>
      </c>
    </row>
    <row r="59" spans="1:11" ht="25.5" customHeight="1" x14ac:dyDescent="0.2">
      <c r="A59" t="s">
        <v>146</v>
      </c>
      <c r="B59" t="s">
        <v>134</v>
      </c>
      <c r="C59" t="s">
        <v>27</v>
      </c>
      <c r="D59" t="s">
        <v>14</v>
      </c>
      <c r="E59" t="s">
        <v>22</v>
      </c>
      <c r="F59" t="s">
        <v>99</v>
      </c>
      <c r="G59">
        <v>3</v>
      </c>
      <c r="H59" s="2" t="str">
        <f t="shared" si="6"/>
        <v>Sprint 6 Laporan &amp; Dashboard</v>
      </c>
      <c r="I59" t="s">
        <v>17</v>
      </c>
      <c r="J59" s="2"/>
      <c r="K59" t="s">
        <v>147</v>
      </c>
    </row>
    <row r="60" spans="1:11" ht="25.5" customHeight="1" x14ac:dyDescent="0.2">
      <c r="A60" t="s">
        <v>148</v>
      </c>
      <c r="B60" t="s">
        <v>149</v>
      </c>
      <c r="C60" t="s">
        <v>27</v>
      </c>
      <c r="D60" t="s">
        <v>14</v>
      </c>
      <c r="E60" t="s">
        <v>22</v>
      </c>
      <c r="F60" t="s">
        <v>46</v>
      </c>
      <c r="G60">
        <v>8</v>
      </c>
      <c r="H60" s="2" t="str">
        <f>HYPERLINK("https://bjpx6kv2q5yt.jp.larksuite.com/record/PZ62ro2kneJHEOcSFGEjFmyDprd", "Sprint 7 Offline &amp; Rilis")</f>
        <v>Sprint 7 Offline &amp; Rilis</v>
      </c>
      <c r="I60" t="s">
        <v>17</v>
      </c>
      <c r="J60" s="2"/>
      <c r="K60" t="s">
        <v>150</v>
      </c>
    </row>
    <row r="61" spans="1:11" ht="25.5" customHeight="1" x14ac:dyDescent="0.2">
      <c r="A61" t="s">
        <v>151</v>
      </c>
      <c r="B61" t="s">
        <v>149</v>
      </c>
      <c r="C61" t="s">
        <v>13</v>
      </c>
      <c r="D61" t="s">
        <v>43</v>
      </c>
      <c r="E61" t="s">
        <v>22</v>
      </c>
      <c r="F61" t="s">
        <v>46</v>
      </c>
      <c r="G61">
        <v>3</v>
      </c>
      <c r="H61" s="2" t="str">
        <f>HYPERLINK("https://bjpx6kv2q5yt.jp.larksuite.com/record/PZ62ro2kneJHEOcSFGEjFmyDprd", "Sprint 7 Offline &amp; Rilis")</f>
        <v>Sprint 7 Offline &amp; Rilis</v>
      </c>
      <c r="I61" t="s">
        <v>17</v>
      </c>
      <c r="J61" s="2"/>
      <c r="K61" t="s">
        <v>152</v>
      </c>
    </row>
    <row r="62" spans="1:11" ht="25.5" customHeight="1" x14ac:dyDescent="0.2">
      <c r="A62" t="s">
        <v>153</v>
      </c>
      <c r="B62" t="s">
        <v>149</v>
      </c>
      <c r="C62" t="s">
        <v>27</v>
      </c>
      <c r="D62" t="s">
        <v>14</v>
      </c>
      <c r="E62" t="s">
        <v>22</v>
      </c>
      <c r="F62" t="s">
        <v>16</v>
      </c>
      <c r="G62">
        <v>2</v>
      </c>
      <c r="H62" s="2" t="str">
        <f>HYPERLINK("https://bjpx6kv2q5yt.jp.larksuite.com/record/PZ62ro2kneJHEOcSFGEjFmyDprd", "Sprint 7 Offline &amp; Rilis")</f>
        <v>Sprint 7 Offline &amp; Rilis</v>
      </c>
      <c r="I62" t="s">
        <v>17</v>
      </c>
      <c r="J62" s="2"/>
      <c r="K62" t="s">
        <v>154</v>
      </c>
    </row>
    <row r="63" spans="1:11" ht="25.5" customHeight="1" x14ac:dyDescent="0.2">
      <c r="A63" t="s">
        <v>155</v>
      </c>
      <c r="B63" t="s">
        <v>149</v>
      </c>
      <c r="C63" t="s">
        <v>20</v>
      </c>
      <c r="D63" t="s">
        <v>14</v>
      </c>
      <c r="E63" t="s">
        <v>22</v>
      </c>
      <c r="F63" t="s">
        <v>16</v>
      </c>
      <c r="G63">
        <v>8</v>
      </c>
      <c r="H63" s="2" t="str">
        <f>HYPERLINK("https://bjpx6kv2q5yt.jp.larksuite.com/record/PZ62ro2kneJHEOcSFGEjFmyDprd", "Sprint 7 Offline &amp; Rilis")</f>
        <v>Sprint 7 Offline &amp; Rilis</v>
      </c>
      <c r="I63" t="s">
        <v>17</v>
      </c>
      <c r="J63" s="2"/>
      <c r="K63" t="s">
        <v>156</v>
      </c>
    </row>
    <row r="64" spans="1:11" ht="25.5" customHeight="1" x14ac:dyDescent="0.2">
      <c r="A64" t="s">
        <v>157</v>
      </c>
      <c r="B64" t="s">
        <v>149</v>
      </c>
      <c r="C64" t="s">
        <v>20</v>
      </c>
      <c r="D64" t="s">
        <v>21</v>
      </c>
      <c r="E64" t="s">
        <v>22</v>
      </c>
      <c r="F64" t="s">
        <v>16</v>
      </c>
      <c r="G64">
        <v>5</v>
      </c>
      <c r="H64" s="2" t="str">
        <f>HYPERLINK("https://bjpx6kv2q5yt.jp.larksuite.com/record/PZ62ro2kneJHEOcSFGEjFmyDprd", "Sprint 7 Offline &amp; Rilis")</f>
        <v>Sprint 7 Offline &amp; Rilis</v>
      </c>
      <c r="I64" t="s">
        <v>17</v>
      </c>
      <c r="J64" s="2"/>
      <c r="K64" t="s">
        <v>158</v>
      </c>
    </row>
  </sheetData>
  <dataValidations count="5">
    <dataValidation type="list" sqref="B2:B63" xr:uid="{00000000-0002-0000-0000-000000000000}">
      <formula1>"0 - Fondasi PWA,1 - Akses &amp; Master,2 - Kasir/POS,3 - Receipt &amp; Customer,4 - Operasional,5 - Keuangan,6 - Laporan &amp; Dashboard,7 - Offline &amp; Rilis"</formula1>
    </dataValidation>
    <dataValidation type="list" sqref="C2:C63" xr:uid="{00000000-0002-0000-0000-000001000000}">
      <formula1>"Story,Bug,Spike,Chore"</formula1>
    </dataValidation>
    <dataValidation type="list" sqref="D2:D63" xr:uid="{00000000-0002-0000-0000-000002000000}">
      <formula1>"PWA,Backend,Infra"</formula1>
    </dataValidation>
    <dataValidation type="list" sqref="E2:E63" xr:uid="{00000000-0002-0000-0000-000003000000}">
      <formula1>"Backlog,Siap,Dikerjakan,Review,Selesai,Cancel"</formula1>
    </dataValidation>
    <dataValidation type="list" sqref="F2:F63" xr:uid="{00000000-0002-0000-0000-000004000000}">
      <formula1>"Must,Should,Could,mst"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9CE8-74FF-415D-AC32-B3F74821DFDE}">
  <dimension ref="A1:F9"/>
  <sheetViews>
    <sheetView workbookViewId="0"/>
  </sheetViews>
  <sheetFormatPr defaultRowHeight="15" x14ac:dyDescent="0.2"/>
  <cols>
    <col min="1" max="6" width="19" customWidth="1"/>
  </cols>
  <sheetData>
    <row r="1" spans="1:6" ht="12.95" customHeight="1" x14ac:dyDescent="0.2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4</v>
      </c>
    </row>
    <row r="2" spans="1:6" ht="25.5" customHeight="1" x14ac:dyDescent="0.2">
      <c r="A2" t="s">
        <v>164</v>
      </c>
      <c r="B2" s="3">
        <v>46235</v>
      </c>
      <c r="C2" t="s">
        <v>165</v>
      </c>
      <c r="D2" s="2" t="str">
        <f>HYPERLINK("https://bjpx6kv2q5yt.jp.larksuite.com/record/BJ4arHyrmeMIA0cLt7fjPIK3pFe", "Sprint 0 Fondasi PWA")</f>
        <v>Sprint 0 Fondasi PWA</v>
      </c>
      <c r="E2">
        <v>40</v>
      </c>
      <c r="F2" t="s">
        <v>166</v>
      </c>
    </row>
    <row r="3" spans="1:6" ht="25.5" customHeight="1" x14ac:dyDescent="0.2">
      <c r="A3" t="s">
        <v>167</v>
      </c>
      <c r="B3" s="3">
        <v>46236</v>
      </c>
      <c r="C3" t="s">
        <v>168</v>
      </c>
      <c r="D3" s="2" t="str">
        <f>HYPERLINK("https://bjpx6kv2q5yt.jp.larksuite.com/record/TFlorLKJVew4MKcZUosjSjARpNc", "Sprint 1 Akses &amp; Master")</f>
        <v>Sprint 1 Akses &amp; Master</v>
      </c>
      <c r="E3">
        <v>37</v>
      </c>
      <c r="F3" t="s">
        <v>166</v>
      </c>
    </row>
    <row r="4" spans="1:6" ht="25.5" customHeight="1" x14ac:dyDescent="0.2">
      <c r="A4" t="s">
        <v>169</v>
      </c>
      <c r="B4" s="3">
        <v>46237</v>
      </c>
      <c r="C4" t="s">
        <v>170</v>
      </c>
      <c r="D4" s="2" t="str">
        <f>HYPERLINK("http://Sprint 2 Kasir/POS", "Sprint 2 Kasir/POS")</f>
        <v>Sprint 2 Kasir/POS</v>
      </c>
      <c r="E4">
        <v>34</v>
      </c>
      <c r="F4" t="s">
        <v>166</v>
      </c>
    </row>
    <row r="5" spans="1:6" ht="25.5" customHeight="1" x14ac:dyDescent="0.2">
      <c r="A5" t="s">
        <v>171</v>
      </c>
      <c r="B5" s="3">
        <v>46238</v>
      </c>
      <c r="C5" t="s">
        <v>172</v>
      </c>
      <c r="D5" s="2" t="str">
        <f>HYPERLINK("http://Sprint 3 Receipt &amp; Customer", "Sprint 3 Receipt &amp; Customer")</f>
        <v>Sprint 3 Receipt &amp; Customer</v>
      </c>
      <c r="E5">
        <v>26</v>
      </c>
      <c r="F5" t="s">
        <v>166</v>
      </c>
    </row>
    <row r="6" spans="1:6" ht="25.5" customHeight="1" x14ac:dyDescent="0.2">
      <c r="A6" t="s">
        <v>173</v>
      </c>
      <c r="B6" s="3">
        <v>46239</v>
      </c>
      <c r="C6" t="s">
        <v>174</v>
      </c>
      <c r="D6" s="2" t="str">
        <f>HYPERLINK("http://Sprint 4 Operasional", "Sprint 4 Operasional")</f>
        <v>Sprint 4 Operasional</v>
      </c>
      <c r="E6">
        <v>37</v>
      </c>
      <c r="F6" t="s">
        <v>166</v>
      </c>
    </row>
    <row r="7" spans="1:6" ht="25.5" customHeight="1" x14ac:dyDescent="0.2">
      <c r="A7" t="s">
        <v>175</v>
      </c>
      <c r="B7" s="3">
        <v>46240</v>
      </c>
      <c r="C7" t="s">
        <v>176</v>
      </c>
      <c r="D7" s="2" t="str">
        <f>HYPERLINK("http://Sprint 5 Keuangan", "Sprint 5 Keuangan")</f>
        <v>Sprint 5 Keuangan</v>
      </c>
      <c r="E7">
        <v>29</v>
      </c>
      <c r="F7" t="s">
        <v>166</v>
      </c>
    </row>
    <row r="8" spans="1:6" ht="25.5" customHeight="1" x14ac:dyDescent="0.2">
      <c r="A8" t="s">
        <v>177</v>
      </c>
      <c r="B8" s="3">
        <v>46241</v>
      </c>
      <c r="C8" t="s">
        <v>178</v>
      </c>
      <c r="D8" s="2" t="str">
        <f>HYPERLINK("http://Sprint 6 Laporan &amp; Dashboard", "Sprint 6 Laporan &amp; Dashboard")</f>
        <v>Sprint 6 Laporan &amp; Dashboard</v>
      </c>
      <c r="E8">
        <v>25</v>
      </c>
      <c r="F8" t="s">
        <v>166</v>
      </c>
    </row>
    <row r="9" spans="1:6" ht="25.5" customHeight="1" x14ac:dyDescent="0.2">
      <c r="A9" t="s">
        <v>179</v>
      </c>
      <c r="B9" s="3">
        <v>46242</v>
      </c>
      <c r="C9" t="s">
        <v>180</v>
      </c>
      <c r="D9" s="2" t="str">
        <f>HYPERLINK("http://Sprint 7 Offline &amp; Rilis", "Sprint 7 Offline &amp; Rilis")</f>
        <v>Sprint 7 Offline &amp; Rilis</v>
      </c>
      <c r="E9">
        <v>26</v>
      </c>
      <c r="F9" t="s">
        <v>166</v>
      </c>
    </row>
  </sheetData>
  <dataValidations count="2">
    <dataValidation type="list" sqref="A2:A8" xr:uid="{00000000-0002-0000-0100-000000000000}">
      <formula1>"Sprint 0,Sprint 1,Sprint 2,Sprint 3,Sprint 4,Sprint 5,Sprint 6,Sprint 7"</formula1>
    </dataValidation>
    <dataValidation type="list" sqref="F2:F8" xr:uid="{00000000-0002-0000-0100-000001000000}">
      <formula1>"Belum,Berjalan,Selesai"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Backlog</vt:lpstr>
      <vt:lpstr>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2026-08-02T09:15:40Z</dcterms:modified>
</cp:coreProperties>
</file>