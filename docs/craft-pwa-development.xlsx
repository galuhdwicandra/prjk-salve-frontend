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A2FB3585-35B7-42E8-BC16-3F9CF8895C80}" xr6:coauthVersionLast="47" xr6:coauthVersionMax="47" xr10:uidLastSave="{00000000-0000-0000-0000-000000000000}"/>
  <bookViews>
    <workbookView xWindow="28680" yWindow="-4395" windowWidth="19440" windowHeight="14880" xr2:uid="{00000000-000D-0000-FFFF-FFFF00000000}"/>
  </bookViews>
  <sheets>
    <sheet name="Backlog" sheetId="2" r:id="rId1"/>
    <sheet name="Sprint" sheetId="3" r:id="rId2"/>
  </sheets>
  <definedNames>
    <definedName name="_xlnm._FilterDatabase" localSheetId="0" hidden="1">Backlog!$A$1:$K$77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7" i="2" l="1"/>
  <c r="H74" i="2"/>
  <c r="H73" i="2"/>
  <c r="H72" i="2"/>
  <c r="H69" i="2"/>
  <c r="H68" i="2"/>
  <c r="H67" i="2"/>
  <c r="H66" i="2"/>
  <c r="H65" i="2"/>
  <c r="D9" i="3"/>
  <c r="D8" i="3"/>
  <c r="D7" i="3"/>
  <c r="D6" i="3"/>
  <c r="D5" i="3"/>
  <c r="D4" i="3"/>
  <c r="D3" i="3"/>
  <c r="D2" i="3"/>
  <c r="J65" i="2"/>
  <c r="H23" i="2"/>
  <c r="H22" i="2"/>
  <c r="H21" i="2"/>
  <c r="H20" i="2"/>
  <c r="J19" i="2"/>
  <c r="H19" i="2"/>
  <c r="J18" i="2"/>
  <c r="H18" i="2"/>
  <c r="H17" i="2"/>
  <c r="H16" i="2"/>
  <c r="J15" i="2"/>
  <c r="H15" i="2"/>
  <c r="J14" i="2"/>
  <c r="H14" i="2"/>
  <c r="H13" i="2"/>
  <c r="H12" i="2"/>
</calcChain>
</file>

<file path=xl/sharedStrings.xml><?xml version="1.0" encoding="utf-8"?>
<sst xmlns="http://schemas.openxmlformats.org/spreadsheetml/2006/main" count="207" uniqueCount="87">
  <si>
    <t>Judul</t>
  </si>
  <si>
    <t>Epic</t>
  </si>
  <si>
    <t>Tipe</t>
  </si>
  <si>
    <t>Layer</t>
  </si>
  <si>
    <t>Status</t>
  </si>
  <si>
    <t>Prioritas</t>
  </si>
  <si>
    <t>Point</t>
  </si>
  <si>
    <t>Sprint</t>
  </si>
  <si>
    <t>PIC</t>
  </si>
  <si>
    <t>Tergantung Pada</t>
  </si>
  <si>
    <t>Acceptance Criteria</t>
  </si>
  <si>
    <t>Spike</t>
  </si>
  <si>
    <t>PWA</t>
  </si>
  <si>
    <t>Must</t>
  </si>
  <si>
    <t>Salve Cleaning Shoes</t>
  </si>
  <si>
    <t>Chore</t>
  </si>
  <si>
    <t>Backlog</t>
  </si>
  <si>
    <t>Story</t>
  </si>
  <si>
    <t>Review</t>
  </si>
  <si>
    <t>Spike: selaraskan model akses CRAFT (modules[], role label, flag, multi-cabang) dengan backend</t>
  </si>
  <si>
    <t>1 - Akses &amp; Master</t>
  </si>
  <si>
    <t>Backend</t>
  </si>
  <si>
    <t>Keputusan: model akses mengikuti CRAFT sepenuhnya — modules[] per user, role sebagai label teks bebas, flag manager/showBalance/customPrice, multi-cabang per user. Role backend tidak lagi menentukan akses. Daftar 22 modul dan pemetaan backfill dari 6 role lama tersedia di frontend/docs/Keputusan_Model_Akses_CRAFT.md.</t>
  </si>
  <si>
    <t>Pecah router/index.tsx per modul karena sudah 610 baris dan akan bertambah 51 route</t>
  </si>
  <si>
    <t>Should</t>
  </si>
  <si>
    <t>Route dipisahkan mengikuti 22 modul CRAFT tanpa perubahan perilaku aplikasi.</t>
  </si>
  <si>
    <t>Hapus feature flag VITE_FEATURE_* — akses ditentukan modules[]</t>
  </si>
  <si>
    <t>Bug</t>
  </si>
  <si>
    <t>Tidak ada lagi VITE_FEATURE_VOUCHER, VITE_FEATURE_DELIVERY, dan VITE_FEATURE_RECEIVABLES di router maupun menu. Modul voucher, pengiriman, dan lainnya muncul semata-mata dari modules[] user.</t>
  </si>
  <si>
    <t>Hubungkan Master Outlet ke /branches</t>
  </si>
  <si>
    <t>CRUD outlet tersimpan di database, termasuk kolom baru type (workshop / droppoint), jam operasional, dan alamat sesuai index.html:3361. Dropdown outlet pada topbar hanya menampilkan cabang milik user.</t>
  </si>
  <si>
    <t>Hubungkan Master Produk dan Layanan ke /services dan /service-categories</t>
  </si>
  <si>
    <t>Struktur parent-variant dari prototype tetap berjalan.</t>
  </si>
  <si>
    <t>Hubungkan harga per outlet dan SLA ke /service-prices/set</t>
  </si>
  <si>
    <t>Perubahan harga pada satu outlet tidak memengaruhi outlet lain. SLA tersimpan.</t>
  </si>
  <si>
    <t>Layar User &amp; Access CRAFT: role teks bebas, akses modul, 3 flag, multi-cabang</t>
  </si>
  <si>
    <t>Form user sama persis dengan index.html:6907-6921 — email, username, nama, Nama Role sebagai teks bebas, checkbox 22 modul dengan "Semua modul", flag Akses manager, Tampilkan saldo, Akses custom harga, dan checkbox multi-cabang dengan "Semua cabang". Modul yang tidak dicentang hilang dari sidebar dan endpoint-nya menolak akses.</t>
  </si>
  <si>
    <t>Hubungkan Penomoran Otomatis ke /invoice-counters</t>
  </si>
  <si>
    <t>Format nomor dan reset periode sesuai preview backend untuk seluruh jenis dokumen di index.html:3480-3497, bukan hanya nomor invoice.</t>
  </si>
  <si>
    <t>Backend: model dan endpoint Metode Pembayaran</t>
  </si>
  <si>
    <t>Tersedia CRUD dan mapping metode pembayaran ke akun kas atau bank per cabang.</t>
  </si>
  <si>
    <t>UI Master Metode Pembayaran</t>
  </si>
  <si>
    <t>Metode pembayaran aktif muncul sebagai pilihan pada POS.</t>
  </si>
  <si>
    <t>Backend: model dan endpoint Label Customer</t>
  </si>
  <si>
    <t>Tersedia CRUD label dan fungsi untuk memasangkan label ke customer.</t>
  </si>
  <si>
    <t>UI Master Label Customer</t>
  </si>
  <si>
    <t>Label customer ditampilkan sebagai chip pada database customer.</t>
  </si>
  <si>
    <t>Backend: skema akses CRAFT (role_label, modules, 3 flag, pivot branch_user) + backfill</t>
  </si>
  <si>
    <t>Kolom dan pivot terpasang. Seluruh user existing ter-backfill dari role lama sehingga tidak ada yang kehilangan akses setelah migrasi.</t>
  </si>
  <si>
    <t>Backend: helper akses di User dan middleware module: di seluruh route group</t>
  </si>
  <si>
    <t>Setiap route group ditandai satu module key. Request ke modul yang tidak dicentang membalas 403.</t>
  </si>
  <si>
    <t>Backend: /auth/me mengirim modules, branches[], role_label, dan 3 flag</t>
  </si>
  <si>
    <t>Payload login dan /me memuat kelima field. Frontend tidak lagi menerima roles.</t>
  </si>
  <si>
    <t>Backend: konversi 15 policy dari role ke cabang + manager</t>
  </si>
  <si>
    <t>Tidak ada lagi hasRole/hasAnyRole di app/. Aksi tulis destruktif hanya lolos untuk flag manager.</t>
  </si>
  <si>
    <t>Backend: multi-cabang pada scoping daftar (orders, deliveries, production, expenses, laporan)</t>
  </si>
  <si>
    <t>Daftar menampilkan data dari seluruh cabang milik user, bukan satu cabang. Cabang di luar miliknya tidak muncul dan tidak bisa diakses langsung.</t>
  </si>
  <si>
    <t>Frontend: ganti RoleName/useHasRole/Guarded jadi berbasis modules[]</t>
  </si>
  <si>
    <t>Tidak ada lagi tipe RoleName di src/. Sidebar, route guard, dan halaman awal setelah login ditentukan modules[].</t>
  </si>
  <si>
    <t>Frontend: tampilkan cabang aktif multi-cabang di topbar</t>
  </si>
  <si>
    <t>Pemilih cabang di topbar hanya berisi cabang milik user, sesuai fillLoc() di acuan.</t>
  </si>
  <si>
    <t>Chore: hapus HasRoles, RolesTableSeeder, users.branch_id, dan spatie/laravel-permission</t>
  </si>
  <si>
    <t>Composer tidak lagi memuat spatie/laravel-permission. Tabel role dan kolom branch_id dihapus. Aplikasi tetap lolos test.</t>
  </si>
  <si>
    <t>Backend: penomoran otomatis multi-dokumen</t>
  </si>
  <si>
    <t>Format nomor tersedia untuk seluruh jenis dokumen di acuan, tidak hanya invoice. Preview dan reset periode berjalan per jenis.</t>
  </si>
  <si>
    <t>Nama</t>
  </si>
  <si>
    <t>Mulai/Selesai</t>
  </si>
  <si>
    <t>Tujuan Sprint</t>
  </si>
  <si>
    <t>Item</t>
  </si>
  <si>
    <t>Total Poin</t>
  </si>
  <si>
    <t>Sprint 0</t>
  </si>
  <si>
    <t>Membangun fondasi PWA yang dapat di-build, login ke backend, berjalan offline, dan tersedia di staging</t>
  </si>
  <si>
    <t>Belum</t>
  </si>
  <si>
    <t>Sprint 1</t>
  </si>
  <si>
    <t>Menyelesaikan akses pengguna serta master outlet, layanan, harga, metode pembayaran, dan label customer</t>
  </si>
  <si>
    <t>Sprint 2</t>
  </si>
  <si>
    <t>Menyelesaikan alur transaksi kasir dari pemilihan layanan sampai pembayaran dan struk</t>
  </si>
  <si>
    <t>Sprint 3</t>
  </si>
  <si>
    <t>Menyelesaikan receipt, database customer, voucher, dan loyalty</t>
  </si>
  <si>
    <t>Sprint 4</t>
  </si>
  <si>
    <t>Menyelesaikan proses operasional workshop, vendor, pengiriman, tracker, dan WhatsApp</t>
  </si>
  <si>
    <t>Sprint 5</t>
  </si>
  <si>
    <t>Menyelesaikan pengelolaan kas, bank, pindah dana, transaksi, COA, dan sesi kas</t>
  </si>
  <si>
    <t>Sprint 6</t>
  </si>
  <si>
    <t>Menyelesaikan dashboard, notifikasi, laporan keuangan, laporan produksi, dan export</t>
  </si>
  <si>
    <t>Sprint 7</t>
  </si>
  <si>
    <t>Menyelesaikan fitur offline, UAT, instalasi PWA, deployment production, dan rollback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</si>
</sst>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3" x14ac:knownFonts="1">
    <font>
      <sz val="11"/>
      <color theme="1"/>
      <name val="DengXian"/>
      <family val="2"/>
    </font>
    <font>
      <sz val="10"/>
      <name val="Calibri"/>
      <family val="2"/>
    </font>
    <font>
      <u/>
      <sz val="11"/>
      <color rgb="FF0000FF"/>
      <name val="DengXian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164" fontId="0" fillId="0" borderId="0" xfId="0" applyNumberFormat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1B38A-16A5-44C7-87F1-2FAE686C640B}">
  <sheetPr filterMode="1"/>
  <dimension ref="A1:K77"/>
  <sheetViews>
    <sheetView tabSelected="1" workbookViewId="0">
      <selection activeCell="C18" sqref="C18"/>
    </sheetView>
  </sheetViews>
  <sheetFormatPr defaultRowHeight="15" x14ac:dyDescent="0.2"/>
  <cols>
    <col min="1" max="11" width="19" customWidth="1"/>
  </cols>
  <sheetData>
    <row r="1" spans="1:11" ht="12.9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5.5" hidden="1" customHeight="1" x14ac:dyDescent="0.2">
      <c r="H2" s="2"/>
      <c r="J2" s="2"/>
    </row>
    <row r="3" spans="1:11" ht="25.5" hidden="1" customHeight="1" x14ac:dyDescent="0.2">
      <c r="H3" s="2"/>
      <c r="J3" s="2"/>
    </row>
    <row r="4" spans="1:11" ht="25.5" hidden="1" customHeight="1" x14ac:dyDescent="0.2">
      <c r="H4" s="2"/>
      <c r="J4" s="2"/>
    </row>
    <row r="5" spans="1:11" ht="25.5" hidden="1" customHeight="1" x14ac:dyDescent="0.2">
      <c r="H5" s="2"/>
      <c r="J5" s="2"/>
    </row>
    <row r="6" spans="1:11" ht="25.5" hidden="1" customHeight="1" x14ac:dyDescent="0.2">
      <c r="H6" s="2"/>
      <c r="J6" s="2"/>
    </row>
    <row r="7" spans="1:11" ht="25.5" hidden="1" customHeight="1" x14ac:dyDescent="0.2">
      <c r="H7" s="2"/>
      <c r="J7" s="2"/>
    </row>
    <row r="8" spans="1:11" ht="25.5" hidden="1" customHeight="1" x14ac:dyDescent="0.2">
      <c r="H8" s="2"/>
      <c r="J8" s="2"/>
    </row>
    <row r="9" spans="1:11" ht="25.5" hidden="1" customHeight="1" x14ac:dyDescent="0.2">
      <c r="H9" s="2"/>
      <c r="J9" s="2"/>
    </row>
    <row r="10" spans="1:11" ht="25.5" hidden="1" customHeight="1" x14ac:dyDescent="0.2">
      <c r="H10" s="2"/>
      <c r="J10" s="2"/>
    </row>
    <row r="11" spans="1:11" ht="25.5" hidden="1" customHeight="1" x14ac:dyDescent="0.2">
      <c r="H11" s="2"/>
      <c r="J11" s="2"/>
    </row>
    <row r="12" spans="1:11" ht="25.5" customHeight="1" x14ac:dyDescent="0.2">
      <c r="A12" t="s">
        <v>19</v>
      </c>
      <c r="B12" t="s">
        <v>20</v>
      </c>
      <c r="C12" t="s">
        <v>11</v>
      </c>
      <c r="D12" t="s">
        <v>21</v>
      </c>
      <c r="E12" t="s">
        <v>18</v>
      </c>
      <c r="F12" t="s">
        <v>13</v>
      </c>
      <c r="G12">
        <v>3</v>
      </c>
      <c r="H12" s="2" t="str">
        <f t="shared" ref="H12:H23" si="0">HYPERLINK("https://bjpx6kv2q5yt.jp.larksuite.com/record/NwGHrlNaAeqMYEctKYVjewl9pph", "Sprint 1 Akses &amp; Master")</f>
        <v>Sprint 1 Akses &amp; Master</v>
      </c>
      <c r="I12" t="s">
        <v>14</v>
      </c>
      <c r="J12" s="2"/>
      <c r="K12" t="s">
        <v>22</v>
      </c>
    </row>
    <row r="13" spans="1:11" ht="25.5" customHeight="1" x14ac:dyDescent="0.2">
      <c r="A13" t="s">
        <v>23</v>
      </c>
      <c r="B13" t="s">
        <v>20</v>
      </c>
      <c r="C13" t="s">
        <v>15</v>
      </c>
      <c r="D13" t="s">
        <v>12</v>
      </c>
      <c r="E13" t="s">
        <v>18</v>
      </c>
      <c r="F13" t="s">
        <v>24</v>
      </c>
      <c r="G13">
        <v>3</v>
      </c>
      <c r="H13" s="2" t="str">
        <f t="shared" si="0"/>
        <v>Sprint 1 Akses &amp; Master</v>
      </c>
      <c r="J13" s="2"/>
      <c r="K13" t="s">
        <v>25</v>
      </c>
    </row>
    <row r="14" spans="1:11" ht="25.5" customHeight="1" x14ac:dyDescent="0.2">
      <c r="A14" t="s">
        <v>26</v>
      </c>
      <c r="B14" t="s">
        <v>20</v>
      </c>
      <c r="C14" t="s">
        <v>27</v>
      </c>
      <c r="D14" t="s">
        <v>12</v>
      </c>
      <c r="E14" t="s">
        <v>16</v>
      </c>
      <c r="F14" t="s">
        <v>13</v>
      </c>
      <c r="G14">
        <v>2</v>
      </c>
      <c r="H14" s="2" t="str">
        <f t="shared" si="0"/>
        <v>Sprint 1 Akses &amp; Master</v>
      </c>
      <c r="J14" s="2" t="str">
        <f>HYPERLINK("http://H (frontend ganti ke modules)", "H (frontend ganti ke modules)")</f>
        <v>H (frontend ganti ke modules)</v>
      </c>
      <c r="K14" t="s">
        <v>28</v>
      </c>
    </row>
    <row r="15" spans="1:11" ht="25.5" customHeight="1" x14ac:dyDescent="0.2">
      <c r="A15" t="s">
        <v>29</v>
      </c>
      <c r="B15" t="s">
        <v>20</v>
      </c>
      <c r="C15" t="s">
        <v>17</v>
      </c>
      <c r="D15" t="s">
        <v>12</v>
      </c>
      <c r="E15" t="s">
        <v>18</v>
      </c>
      <c r="F15" t="s">
        <v>13</v>
      </c>
      <c r="G15">
        <v>5</v>
      </c>
      <c r="H15" s="2" t="str">
        <f t="shared" si="0"/>
        <v>Sprint 1 Akses &amp; Master</v>
      </c>
      <c r="I15" t="s">
        <v>14</v>
      </c>
      <c r="J15" s="2" t="str">
        <f>HYPERLINK("http://A (skema akses + pivot cabang)", "A (skema akses + pivot cabang)")</f>
        <v>A (skema akses + pivot cabang)</v>
      </c>
      <c r="K15" t="s">
        <v>30</v>
      </c>
    </row>
    <row r="16" spans="1:11" ht="25.5" customHeight="1" x14ac:dyDescent="0.2">
      <c r="A16" t="s">
        <v>31</v>
      </c>
      <c r="B16" t="s">
        <v>20</v>
      </c>
      <c r="C16" t="s">
        <v>17</v>
      </c>
      <c r="D16" t="s">
        <v>12</v>
      </c>
      <c r="E16" t="s">
        <v>18</v>
      </c>
      <c r="F16" t="s">
        <v>13</v>
      </c>
      <c r="G16">
        <v>5</v>
      </c>
      <c r="H16" s="2" t="str">
        <f t="shared" si="0"/>
        <v>Sprint 1 Akses &amp; Master</v>
      </c>
      <c r="I16" t="s">
        <v>14</v>
      </c>
      <c r="J16" s="2"/>
      <c r="K16" t="s">
        <v>32</v>
      </c>
    </row>
    <row r="17" spans="1:11" ht="25.5" customHeight="1" x14ac:dyDescent="0.2">
      <c r="A17" t="s">
        <v>33</v>
      </c>
      <c r="B17" t="s">
        <v>20</v>
      </c>
      <c r="C17" t="s">
        <v>17</v>
      </c>
      <c r="D17" t="s">
        <v>12</v>
      </c>
      <c r="E17" t="s">
        <v>16</v>
      </c>
      <c r="F17" t="s">
        <v>13</v>
      </c>
      <c r="G17">
        <v>5</v>
      </c>
      <c r="H17" s="2" t="str">
        <f t="shared" si="0"/>
        <v>Sprint 1 Akses &amp; Master</v>
      </c>
      <c r="I17" t="s">
        <v>14</v>
      </c>
      <c r="J17" s="2"/>
      <c r="K17" t="s">
        <v>34</v>
      </c>
    </row>
    <row r="18" spans="1:11" ht="25.5" customHeight="1" x14ac:dyDescent="0.2">
      <c r="A18" t="s">
        <v>35</v>
      </c>
      <c r="B18" t="s">
        <v>20</v>
      </c>
      <c r="C18" t="s">
        <v>17</v>
      </c>
      <c r="D18" t="s">
        <v>12</v>
      </c>
      <c r="E18" t="s">
        <v>16</v>
      </c>
      <c r="F18" t="s">
        <v>13</v>
      </c>
      <c r="G18">
        <v>8</v>
      </c>
      <c r="H18" s="2" t="str">
        <f t="shared" si="0"/>
        <v>Sprint 1 Akses &amp; Master</v>
      </c>
      <c r="I18" t="s">
        <v>14</v>
      </c>
      <c r="J18" s="2" t="str">
        <f>HYPERLINK("http://C, H", "C, H")</f>
        <v>C, H</v>
      </c>
      <c r="K18" t="s">
        <v>36</v>
      </c>
    </row>
    <row r="19" spans="1:11" ht="25.5" customHeight="1" x14ac:dyDescent="0.2">
      <c r="A19" t="s">
        <v>37</v>
      </c>
      <c r="B19" t="s">
        <v>20</v>
      </c>
      <c r="C19" t="s">
        <v>17</v>
      </c>
      <c r="D19" t="s">
        <v>12</v>
      </c>
      <c r="E19" t="s">
        <v>16</v>
      </c>
      <c r="F19" t="s">
        <v>24</v>
      </c>
      <c r="G19">
        <v>3</v>
      </c>
      <c r="H19" s="2" t="str">
        <f t="shared" si="0"/>
        <v>Sprint 1 Akses &amp; Master</v>
      </c>
      <c r="I19" t="s">
        <v>14</v>
      </c>
      <c r="J19" s="2" t="str">
        <f>HYPERLINK("http://M (backend penomoran multi-dokumen)", "M (backend penomoran multi-dokumen)")</f>
        <v>M (backend penomoran multi-dokumen)</v>
      </c>
      <c r="K19" t="s">
        <v>38</v>
      </c>
    </row>
    <row r="20" spans="1:11" ht="25.5" customHeight="1" x14ac:dyDescent="0.2">
      <c r="A20" t="s">
        <v>39</v>
      </c>
      <c r="B20" t="s">
        <v>20</v>
      </c>
      <c r="C20" t="s">
        <v>17</v>
      </c>
      <c r="D20" t="s">
        <v>21</v>
      </c>
      <c r="E20" t="s">
        <v>16</v>
      </c>
      <c r="F20" t="s">
        <v>13</v>
      </c>
      <c r="G20">
        <v>5</v>
      </c>
      <c r="H20" s="2" t="str">
        <f t="shared" si="0"/>
        <v>Sprint 1 Akses &amp; Master</v>
      </c>
      <c r="I20" t="s">
        <v>14</v>
      </c>
      <c r="J20" s="2"/>
      <c r="K20" t="s">
        <v>40</v>
      </c>
    </row>
    <row r="21" spans="1:11" ht="25.5" customHeight="1" x14ac:dyDescent="0.2">
      <c r="A21" t="s">
        <v>41</v>
      </c>
      <c r="B21" t="s">
        <v>20</v>
      </c>
      <c r="C21" t="s">
        <v>17</v>
      </c>
      <c r="D21" t="s">
        <v>12</v>
      </c>
      <c r="E21" t="s">
        <v>16</v>
      </c>
      <c r="F21" t="s">
        <v>13</v>
      </c>
      <c r="G21">
        <v>3</v>
      </c>
      <c r="H21" s="2" t="str">
        <f t="shared" si="0"/>
        <v>Sprint 1 Akses &amp; Master</v>
      </c>
      <c r="I21" t="s">
        <v>14</v>
      </c>
      <c r="J21" s="2"/>
      <c r="K21" t="s">
        <v>42</v>
      </c>
    </row>
    <row r="22" spans="1:11" ht="25.5" customHeight="1" x14ac:dyDescent="0.2">
      <c r="A22" t="s">
        <v>43</v>
      </c>
      <c r="B22" t="s">
        <v>20</v>
      </c>
      <c r="C22" t="s">
        <v>17</v>
      </c>
      <c r="D22" t="s">
        <v>21</v>
      </c>
      <c r="E22" t="s">
        <v>16</v>
      </c>
      <c r="F22" t="s">
        <v>13</v>
      </c>
      <c r="G22">
        <v>3</v>
      </c>
      <c r="H22" s="2" t="str">
        <f t="shared" si="0"/>
        <v>Sprint 1 Akses &amp; Master</v>
      </c>
      <c r="I22" t="s">
        <v>14</v>
      </c>
      <c r="J22" s="2"/>
      <c r="K22" t="s">
        <v>44</v>
      </c>
    </row>
    <row r="23" spans="1:11" ht="25.5" customHeight="1" x14ac:dyDescent="0.2">
      <c r="A23" t="s">
        <v>45</v>
      </c>
      <c r="B23" t="s">
        <v>20</v>
      </c>
      <c r="C23" t="s">
        <v>17</v>
      </c>
      <c r="D23" t="s">
        <v>12</v>
      </c>
      <c r="E23" t="s">
        <v>16</v>
      </c>
      <c r="F23" t="s">
        <v>13</v>
      </c>
      <c r="G23">
        <v>2</v>
      </c>
      <c r="H23" s="2" t="str">
        <f t="shared" si="0"/>
        <v>Sprint 1 Akses &amp; Master</v>
      </c>
      <c r="I23" t="s">
        <v>14</v>
      </c>
      <c r="J23" s="2"/>
      <c r="K23" t="s">
        <v>46</v>
      </c>
    </row>
    <row r="24" spans="1:11" ht="25.5" hidden="1" customHeight="1" x14ac:dyDescent="0.2">
      <c r="H24" s="2"/>
      <c r="J24" s="2"/>
    </row>
    <row r="25" spans="1:11" ht="25.5" hidden="1" customHeight="1" x14ac:dyDescent="0.2">
      <c r="H25" s="2"/>
      <c r="J25" s="2"/>
    </row>
    <row r="26" spans="1:11" ht="25.5" hidden="1" customHeight="1" x14ac:dyDescent="0.2">
      <c r="H26" s="2"/>
      <c r="J26" s="2"/>
    </row>
    <row r="27" spans="1:11" ht="25.5" hidden="1" customHeight="1" x14ac:dyDescent="0.2">
      <c r="H27" s="2"/>
      <c r="J27" s="2"/>
    </row>
    <row r="28" spans="1:11" ht="25.5" hidden="1" customHeight="1" x14ac:dyDescent="0.2">
      <c r="H28" s="2"/>
      <c r="J28" s="2"/>
    </row>
    <row r="29" spans="1:11" ht="25.5" hidden="1" customHeight="1" x14ac:dyDescent="0.2">
      <c r="H29" s="2"/>
      <c r="J29" s="2"/>
    </row>
    <row r="30" spans="1:11" ht="25.5" hidden="1" customHeight="1" x14ac:dyDescent="0.2">
      <c r="H30" s="2"/>
      <c r="J30" s="2"/>
    </row>
    <row r="31" spans="1:11" ht="25.5" hidden="1" customHeight="1" x14ac:dyDescent="0.2">
      <c r="H31" s="2"/>
      <c r="J31" s="2"/>
    </row>
    <row r="32" spans="1:11" ht="25.5" hidden="1" customHeight="1" x14ac:dyDescent="0.2">
      <c r="H32" s="2"/>
      <c r="J32" s="2"/>
    </row>
    <row r="33" spans="8:10" ht="25.5" hidden="1" customHeight="1" x14ac:dyDescent="0.2">
      <c r="H33" s="2"/>
      <c r="J33" s="2"/>
    </row>
    <row r="34" spans="8:10" ht="25.5" hidden="1" customHeight="1" x14ac:dyDescent="0.2">
      <c r="H34" s="2"/>
      <c r="J34" s="2"/>
    </row>
    <row r="35" spans="8:10" ht="25.5" hidden="1" customHeight="1" x14ac:dyDescent="0.2">
      <c r="H35" s="2"/>
      <c r="J35" s="2"/>
    </row>
    <row r="36" spans="8:10" ht="25.5" hidden="1" customHeight="1" x14ac:dyDescent="0.2">
      <c r="H36" s="2"/>
      <c r="J36" s="2"/>
    </row>
    <row r="37" spans="8:10" ht="25.5" hidden="1" customHeight="1" x14ac:dyDescent="0.2">
      <c r="H37" s="2"/>
      <c r="J37" s="2"/>
    </row>
    <row r="38" spans="8:10" ht="25.5" hidden="1" customHeight="1" x14ac:dyDescent="0.2">
      <c r="H38" s="2"/>
      <c r="J38" s="2"/>
    </row>
    <row r="39" spans="8:10" ht="25.5" hidden="1" customHeight="1" x14ac:dyDescent="0.2">
      <c r="H39" s="2"/>
      <c r="J39" s="2"/>
    </row>
    <row r="40" spans="8:10" ht="25.5" hidden="1" customHeight="1" x14ac:dyDescent="0.2">
      <c r="H40" s="2"/>
      <c r="J40" s="2"/>
    </row>
    <row r="41" spans="8:10" ht="25.5" hidden="1" customHeight="1" x14ac:dyDescent="0.2">
      <c r="H41" s="2"/>
      <c r="J41" s="2"/>
    </row>
    <row r="42" spans="8:10" ht="25.5" hidden="1" customHeight="1" x14ac:dyDescent="0.2">
      <c r="H42" s="2"/>
      <c r="J42" s="2"/>
    </row>
    <row r="43" spans="8:10" ht="25.5" hidden="1" customHeight="1" x14ac:dyDescent="0.2">
      <c r="H43" s="2"/>
      <c r="J43" s="2"/>
    </row>
    <row r="44" spans="8:10" ht="25.5" hidden="1" customHeight="1" x14ac:dyDescent="0.2">
      <c r="H44" s="2"/>
      <c r="J44" s="2"/>
    </row>
    <row r="45" spans="8:10" ht="25.5" hidden="1" customHeight="1" x14ac:dyDescent="0.2">
      <c r="H45" s="2"/>
      <c r="J45" s="2"/>
    </row>
    <row r="46" spans="8:10" ht="25.5" hidden="1" customHeight="1" x14ac:dyDescent="0.2">
      <c r="H46" s="2"/>
      <c r="J46" s="2"/>
    </row>
    <row r="47" spans="8:10" ht="25.5" hidden="1" customHeight="1" x14ac:dyDescent="0.2">
      <c r="H47" s="2"/>
      <c r="J47" s="2"/>
    </row>
    <row r="48" spans="8:10" ht="25.5" hidden="1" customHeight="1" x14ac:dyDescent="0.2">
      <c r="H48" s="2"/>
      <c r="J48" s="2"/>
    </row>
    <row r="49" spans="8:10" ht="25.5" hidden="1" customHeight="1" x14ac:dyDescent="0.2">
      <c r="H49" s="2"/>
      <c r="J49" s="2"/>
    </row>
    <row r="50" spans="8:10" ht="25.5" hidden="1" customHeight="1" x14ac:dyDescent="0.2">
      <c r="H50" s="2"/>
      <c r="J50" s="2"/>
    </row>
    <row r="51" spans="8:10" ht="25.5" hidden="1" customHeight="1" x14ac:dyDescent="0.2">
      <c r="H51" s="2"/>
      <c r="J51" s="2"/>
    </row>
    <row r="52" spans="8:10" ht="25.5" hidden="1" customHeight="1" x14ac:dyDescent="0.2">
      <c r="H52" s="2"/>
      <c r="J52" s="2"/>
    </row>
    <row r="53" spans="8:10" ht="25.5" hidden="1" customHeight="1" x14ac:dyDescent="0.2">
      <c r="H53" s="2"/>
      <c r="J53" s="2"/>
    </row>
    <row r="54" spans="8:10" ht="25.5" hidden="1" customHeight="1" x14ac:dyDescent="0.2">
      <c r="H54" s="2"/>
      <c r="J54" s="2"/>
    </row>
    <row r="55" spans="8:10" ht="25.5" hidden="1" customHeight="1" x14ac:dyDescent="0.2">
      <c r="H55" s="2"/>
      <c r="J55" s="2"/>
    </row>
    <row r="56" spans="8:10" ht="25.5" hidden="1" customHeight="1" x14ac:dyDescent="0.2">
      <c r="H56" s="2"/>
      <c r="J56" s="2"/>
    </row>
    <row r="57" spans="8:10" ht="25.5" hidden="1" customHeight="1" x14ac:dyDescent="0.2">
      <c r="H57" s="2"/>
      <c r="J57" s="2"/>
    </row>
    <row r="58" spans="8:10" ht="25.5" hidden="1" customHeight="1" x14ac:dyDescent="0.2">
      <c r="H58" s="2"/>
      <c r="J58" s="2"/>
    </row>
    <row r="59" spans="8:10" ht="25.5" hidden="1" customHeight="1" x14ac:dyDescent="0.2">
      <c r="H59" s="2"/>
      <c r="J59" s="2"/>
    </row>
    <row r="60" spans="8:10" ht="25.5" hidden="1" customHeight="1" x14ac:dyDescent="0.2">
      <c r="H60" s="2"/>
      <c r="J60" s="2"/>
    </row>
    <row r="61" spans="8:10" ht="25.5" hidden="1" customHeight="1" x14ac:dyDescent="0.2">
      <c r="H61" s="2"/>
      <c r="J61" s="2"/>
    </row>
    <row r="62" spans="8:10" ht="25.5" hidden="1" customHeight="1" x14ac:dyDescent="0.2">
      <c r="H62" s="2"/>
      <c r="J62" s="2"/>
    </row>
    <row r="63" spans="8:10" ht="25.5" hidden="1" customHeight="1" x14ac:dyDescent="0.2">
      <c r="H63" s="2"/>
      <c r="J63" s="2"/>
    </row>
    <row r="64" spans="8:10" ht="25.5" hidden="1" customHeight="1" x14ac:dyDescent="0.2">
      <c r="H64" s="2"/>
      <c r="J64" s="2"/>
    </row>
    <row r="65" spans="1:11" ht="25.5" customHeight="1" x14ac:dyDescent="0.2">
      <c r="A65" t="s">
        <v>47</v>
      </c>
      <c r="B65" t="s">
        <v>20</v>
      </c>
      <c r="C65" t="s">
        <v>17</v>
      </c>
      <c r="D65" t="s">
        <v>21</v>
      </c>
      <c r="E65" t="s">
        <v>16</v>
      </c>
      <c r="F65" t="s">
        <v>13</v>
      </c>
      <c r="G65">
        <v>12</v>
      </c>
      <c r="H65" s="2" t="str">
        <f t="shared" ref="H65:H69" si="1">HYPERLINK("https://bjpx6kv2q5yt.jp.larksuite.com/record/NwGHrlNaAeqMYEctKYVjewl9pph", "Sprint 1 Akses &amp; Master")</f>
        <v>Sprint 1 Akses &amp; Master</v>
      </c>
      <c r="I65" t="s">
        <v>14</v>
      </c>
      <c r="J65" s="2" t="str">
        <f>HYPERLINK("http://12", "12")</f>
        <v>12</v>
      </c>
      <c r="K65" t="s">
        <v>48</v>
      </c>
    </row>
    <row r="66" spans="1:11" ht="25.5" customHeight="1" x14ac:dyDescent="0.2">
      <c r="A66" t="s">
        <v>49</v>
      </c>
      <c r="B66" t="s">
        <v>20</v>
      </c>
      <c r="C66" t="s">
        <v>17</v>
      </c>
      <c r="D66" t="s">
        <v>21</v>
      </c>
      <c r="E66" t="s">
        <v>16</v>
      </c>
      <c r="F66" t="s">
        <v>13</v>
      </c>
      <c r="G66">
        <v>5</v>
      </c>
      <c r="H66" s="2" t="str">
        <f t="shared" si="1"/>
        <v>Sprint 1 Akses &amp; Master</v>
      </c>
      <c r="I66" t="s">
        <v>14</v>
      </c>
      <c r="J66" s="2"/>
      <c r="K66" t="s">
        <v>50</v>
      </c>
    </row>
    <row r="67" spans="1:11" ht="25.5" customHeight="1" x14ac:dyDescent="0.2">
      <c r="A67" t="s">
        <v>51</v>
      </c>
      <c r="B67" t="s">
        <v>20</v>
      </c>
      <c r="C67" t="s">
        <v>17</v>
      </c>
      <c r="D67" t="s">
        <v>21</v>
      </c>
      <c r="E67" t="s">
        <v>16</v>
      </c>
      <c r="F67" t="s">
        <v>13</v>
      </c>
      <c r="G67">
        <v>2</v>
      </c>
      <c r="H67" s="2" t="str">
        <f t="shared" si="1"/>
        <v>Sprint 1 Akses &amp; Master</v>
      </c>
      <c r="I67" t="s">
        <v>14</v>
      </c>
      <c r="J67" s="2"/>
      <c r="K67" t="s">
        <v>52</v>
      </c>
    </row>
    <row r="68" spans="1:11" ht="25.5" customHeight="1" x14ac:dyDescent="0.2">
      <c r="A68" t="s">
        <v>53</v>
      </c>
      <c r="B68" t="s">
        <v>20</v>
      </c>
      <c r="C68" t="s">
        <v>17</v>
      </c>
      <c r="D68" t="s">
        <v>21</v>
      </c>
      <c r="E68" t="s">
        <v>16</v>
      </c>
      <c r="F68" t="s">
        <v>13</v>
      </c>
      <c r="G68">
        <v>13</v>
      </c>
      <c r="H68" s="2" t="str">
        <f t="shared" si="1"/>
        <v>Sprint 1 Akses &amp; Master</v>
      </c>
      <c r="I68" t="s">
        <v>14</v>
      </c>
      <c r="J68" s="2"/>
      <c r="K68" t="s">
        <v>54</v>
      </c>
    </row>
    <row r="69" spans="1:11" ht="25.5" customHeight="1" x14ac:dyDescent="0.2">
      <c r="A69" t="s">
        <v>55</v>
      </c>
      <c r="B69" t="s">
        <v>20</v>
      </c>
      <c r="C69" t="s">
        <v>17</v>
      </c>
      <c r="D69" t="s">
        <v>21</v>
      </c>
      <c r="E69" t="s">
        <v>16</v>
      </c>
      <c r="F69" t="s">
        <v>13</v>
      </c>
      <c r="G69">
        <v>8</v>
      </c>
      <c r="H69" s="2" t="str">
        <f t="shared" si="1"/>
        <v>Sprint 1 Akses &amp; Master</v>
      </c>
      <c r="I69" t="s">
        <v>14</v>
      </c>
      <c r="J69" s="2"/>
      <c r="K69" t="s">
        <v>56</v>
      </c>
    </row>
    <row r="70" spans="1:11" ht="25.5" hidden="1" customHeight="1" x14ac:dyDescent="0.2">
      <c r="H70" s="2"/>
      <c r="J70" s="2"/>
    </row>
    <row r="71" spans="1:11" ht="25.5" hidden="1" customHeight="1" x14ac:dyDescent="0.2">
      <c r="H71" s="2"/>
      <c r="J71" s="2"/>
    </row>
    <row r="72" spans="1:11" ht="25.5" customHeight="1" x14ac:dyDescent="0.2">
      <c r="A72" t="s">
        <v>57</v>
      </c>
      <c r="B72" t="s">
        <v>20</v>
      </c>
      <c r="C72" t="s">
        <v>17</v>
      </c>
      <c r="D72" t="s">
        <v>12</v>
      </c>
      <c r="E72" t="s">
        <v>16</v>
      </c>
      <c r="F72" t="s">
        <v>13</v>
      </c>
      <c r="G72">
        <v>5</v>
      </c>
      <c r="H72" s="2" t="str">
        <f t="shared" ref="H72:H74" si="2">HYPERLINK("https://bjpx6kv2q5yt.jp.larksuite.com/record/NwGHrlNaAeqMYEctKYVjewl9pph", "Sprint 1 Akses &amp; Master")</f>
        <v>Sprint 1 Akses &amp; Master</v>
      </c>
      <c r="I72" t="s">
        <v>14</v>
      </c>
      <c r="J72" s="2"/>
      <c r="K72" t="s">
        <v>58</v>
      </c>
    </row>
    <row r="73" spans="1:11" ht="25.5" customHeight="1" x14ac:dyDescent="0.2">
      <c r="A73" t="s">
        <v>59</v>
      </c>
      <c r="B73" t="s">
        <v>20</v>
      </c>
      <c r="C73" t="s">
        <v>17</v>
      </c>
      <c r="D73" t="s">
        <v>12</v>
      </c>
      <c r="E73" t="s">
        <v>16</v>
      </c>
      <c r="F73" t="s">
        <v>13</v>
      </c>
      <c r="G73">
        <v>3</v>
      </c>
      <c r="H73" s="2" t="str">
        <f t="shared" si="2"/>
        <v>Sprint 1 Akses &amp; Master</v>
      </c>
      <c r="I73" t="s">
        <v>14</v>
      </c>
      <c r="J73" s="2"/>
      <c r="K73" t="s">
        <v>60</v>
      </c>
    </row>
    <row r="74" spans="1:11" ht="25.5" customHeight="1" x14ac:dyDescent="0.2">
      <c r="A74" t="s">
        <v>61</v>
      </c>
      <c r="B74" t="s">
        <v>20</v>
      </c>
      <c r="C74" t="s">
        <v>17</v>
      </c>
      <c r="D74" t="s">
        <v>21</v>
      </c>
      <c r="E74" t="s">
        <v>16</v>
      </c>
      <c r="F74" t="s">
        <v>13</v>
      </c>
      <c r="G74">
        <v>3</v>
      </c>
      <c r="H74" s="2" t="str">
        <f t="shared" si="2"/>
        <v>Sprint 1 Akses &amp; Master</v>
      </c>
      <c r="I74" t="s">
        <v>14</v>
      </c>
      <c r="J74" s="2"/>
      <c r="K74" t="s">
        <v>62</v>
      </c>
    </row>
    <row r="75" spans="1:11" ht="25.5" hidden="1" customHeight="1" x14ac:dyDescent="0.2">
      <c r="H75" s="2"/>
      <c r="J75" s="2"/>
    </row>
    <row r="76" spans="1:11" ht="25.5" hidden="1" customHeight="1" x14ac:dyDescent="0.2">
      <c r="H76" s="2"/>
      <c r="J76" s="2"/>
    </row>
    <row r="77" spans="1:11" ht="25.5" customHeight="1" x14ac:dyDescent="0.2">
      <c r="A77" t="s">
        <v>63</v>
      </c>
      <c r="B77" t="s">
        <v>20</v>
      </c>
      <c r="C77" t="s">
        <v>17</v>
      </c>
      <c r="D77" t="s">
        <v>21</v>
      </c>
      <c r="E77" t="s">
        <v>16</v>
      </c>
      <c r="F77" t="s">
        <v>13</v>
      </c>
      <c r="G77">
        <v>5</v>
      </c>
      <c r="H77" s="2" t="str">
        <f t="shared" ref="H77" si="3">HYPERLINK("https://bjpx6kv2q5yt.jp.larksuite.com/record/NwGHrlNaAeqMYEctKYVjewl9pph", "Sprint 1 Akses &amp; Master")</f>
        <v>Sprint 1 Akses &amp; Master</v>
      </c>
      <c r="I77" t="s">
        <v>14</v>
      </c>
      <c r="J77" s="2"/>
      <c r="K77" t="s">
        <v>64</v>
      </c>
    </row>
  </sheetData>
  <autoFilter ref="A1:K77" xr:uid="{57B1B38A-16A5-44C7-87F1-2FAE686C640B}">
    <filterColumn colId="1">
      <customFilters>
        <customFilter operator="notEqual" val=" "/>
      </customFilters>
    </filterColumn>
  </autoFilter>
  <dataValidations count="5">
    <dataValidation type="list" sqref="B2:B76" xr:uid="{00000000-0002-0000-0000-000000000000}">
      <formula1>"0 - Fondasi PWA,1 - Akses &amp; Master,2 - Kasir/POS,3 - Receipt &amp; Customer,4 - Operasional,5 - Keuangan,6 - Laporan &amp; Dashboard,7 - Offline &amp; Rilis"</formula1>
    </dataValidation>
    <dataValidation type="list" sqref="C2:C76" xr:uid="{00000000-0002-0000-0000-000001000000}">
      <formula1>"Story,Bug,Spike,Chore"</formula1>
    </dataValidation>
    <dataValidation type="list" sqref="D2:D76" xr:uid="{00000000-0002-0000-0000-000002000000}">
      <formula1>"PWA,Backend,Infra"</formula1>
    </dataValidation>
    <dataValidation type="list" sqref="E2:E76" xr:uid="{00000000-0002-0000-0000-000003000000}">
      <formula1>"Backlog,Siap,Dikerjakan,Review,Selesai,Cancel"</formula1>
    </dataValidation>
    <dataValidation type="list" sqref="F2:F76" xr:uid="{00000000-0002-0000-0000-000004000000}">
      <formula1>"Must,Should,Could,mst"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E882-27EE-4475-949A-DD3E36772098}">
  <dimension ref="A1:F9"/>
  <sheetViews>
    <sheetView workbookViewId="0"/>
  </sheetViews>
  <sheetFormatPr defaultRowHeight="15" x14ac:dyDescent="0.2"/>
  <cols>
    <col min="1" max="6" width="19" customWidth="1"/>
  </cols>
  <sheetData>
    <row r="1" spans="1:6" ht="12.95" customHeight="1" x14ac:dyDescent="0.2">
      <c r="A1" s="1" t="s">
        <v>65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4</v>
      </c>
    </row>
    <row r="2" spans="1:6" ht="25.5" customHeight="1" x14ac:dyDescent="0.2">
      <c r="A2" t="s">
        <v>70</v>
      </c>
      <c r="B2" s="3">
        <v>46235</v>
      </c>
      <c r="C2" t="s">
        <v>71</v>
      </c>
      <c r="D2" s="2" t="str">
        <f>HYPERLINK("https://bjpx6kv2q5yt.jp.larksuite.com/record/BJ4arHyrmeMIA0cLt7fjPIK3pFe", "Sprint 0 Fondasi PWA")</f>
        <v>Sprint 0 Fondasi PWA</v>
      </c>
      <c r="E2">
        <v>40</v>
      </c>
      <c r="F2" t="s">
        <v>72</v>
      </c>
    </row>
    <row r="3" spans="1:6" ht="25.5" customHeight="1" x14ac:dyDescent="0.2">
      <c r="A3" t="s">
        <v>73</v>
      </c>
      <c r="B3" s="3">
        <v>46236</v>
      </c>
      <c r="C3" t="s">
        <v>74</v>
      </c>
      <c r="D3" s="2" t="str">
        <f>HYPERLINK("https://bjpx6kv2q5yt.jp.larksuite.com/record/TFlorLKJVew4MKcZUosjSjARpNc", "Sprint 1 Akses &amp; Master")</f>
        <v>Sprint 1 Akses &amp; Master</v>
      </c>
      <c r="E3">
        <v>37</v>
      </c>
      <c r="F3" t="s">
        <v>72</v>
      </c>
    </row>
    <row r="4" spans="1:6" ht="25.5" customHeight="1" x14ac:dyDescent="0.2">
      <c r="A4" t="s">
        <v>75</v>
      </c>
      <c r="B4" s="3">
        <v>46237</v>
      </c>
      <c r="C4" t="s">
        <v>76</v>
      </c>
      <c r="D4" s="2" t="str">
        <f>HYPERLINK("http://Sprint 2 Kasir/POS", "Sprint 2 Kasir/POS")</f>
        <v>Sprint 2 Kasir/POS</v>
      </c>
      <c r="E4">
        <v>34</v>
      </c>
      <c r="F4" t="s">
        <v>72</v>
      </c>
    </row>
    <row r="5" spans="1:6" ht="25.5" customHeight="1" x14ac:dyDescent="0.2">
      <c r="A5" t="s">
        <v>77</v>
      </c>
      <c r="B5" s="3">
        <v>46238</v>
      </c>
      <c r="C5" t="s">
        <v>78</v>
      </c>
      <c r="D5" s="2" t="str">
        <f>HYPERLINK("http://Sprint 3 Receipt &amp; Customer", "Sprint 3 Receipt &amp; Customer")</f>
        <v>Sprint 3 Receipt &amp; Customer</v>
      </c>
      <c r="E5">
        <v>26</v>
      </c>
      <c r="F5" t="s">
        <v>72</v>
      </c>
    </row>
    <row r="6" spans="1:6" ht="25.5" customHeight="1" x14ac:dyDescent="0.2">
      <c r="A6" t="s">
        <v>79</v>
      </c>
      <c r="B6" s="3">
        <v>46239</v>
      </c>
      <c r="C6" t="s">
        <v>80</v>
      </c>
      <c r="D6" s="2" t="str">
        <f>HYPERLINK("http://Sprint 4 Operasional", "Sprint 4 Operasional")</f>
        <v>Sprint 4 Operasional</v>
      </c>
      <c r="E6">
        <v>37</v>
      </c>
      <c r="F6" t="s">
        <v>72</v>
      </c>
    </row>
    <row r="7" spans="1:6" ht="25.5" customHeight="1" x14ac:dyDescent="0.2">
      <c r="A7" t="s">
        <v>81</v>
      </c>
      <c r="B7" s="3">
        <v>46240</v>
      </c>
      <c r="C7" t="s">
        <v>82</v>
      </c>
      <c r="D7" s="2" t="str">
        <f>HYPERLINK("http://Sprint 5 Keuangan", "Sprint 5 Keuangan")</f>
        <v>Sprint 5 Keuangan</v>
      </c>
      <c r="E7">
        <v>29</v>
      </c>
      <c r="F7" t="s">
        <v>72</v>
      </c>
    </row>
    <row r="8" spans="1:6" ht="25.5" customHeight="1" x14ac:dyDescent="0.2">
      <c r="A8" t="s">
        <v>83</v>
      </c>
      <c r="B8" s="3">
        <v>46241</v>
      </c>
      <c r="C8" t="s">
        <v>84</v>
      </c>
      <c r="D8" s="2" t="str">
        <f>HYPERLINK("http://Sprint 6 Laporan &amp; Dashboard", "Sprint 6 Laporan &amp; Dashboard")</f>
        <v>Sprint 6 Laporan &amp; Dashboard</v>
      </c>
      <c r="E8">
        <v>25</v>
      </c>
      <c r="F8" t="s">
        <v>72</v>
      </c>
    </row>
    <row r="9" spans="1:6" ht="25.5" customHeight="1" x14ac:dyDescent="0.2">
      <c r="A9" t="s">
        <v>85</v>
      </c>
      <c r="B9" s="3">
        <v>46242</v>
      </c>
      <c r="C9" t="s">
        <v>86</v>
      </c>
      <c r="D9" s="2" t="str">
        <f>HYPERLINK("http://Sprint 7 Offline &amp; Rilis", "Sprint 7 Offline &amp; Rilis")</f>
        <v>Sprint 7 Offline &amp; Rilis</v>
      </c>
      <c r="E9">
        <v>26</v>
      </c>
      <c r="F9" t="s">
        <v>72</v>
      </c>
    </row>
  </sheetData>
  <dataValidations count="2">
    <dataValidation type="list" sqref="A2:A8" xr:uid="{00000000-0002-0000-0100-000000000000}">
      <formula1>"Sprint 0,Sprint 1,Sprint 2,Sprint 3,Sprint 4,Sprint 5,Sprint 6,Sprint 7"</formula1>
    </dataValidation>
    <dataValidation type="list" sqref="F2:F8" xr:uid="{00000000-0002-0000-0100-000001000000}">
      <formula1>"Belum,Berjalan,Selesai"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Backlog</vt:lpstr>
      <vt:lpstr>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2026-08-04T11:46:01Z</dcterms:modified>
</cp:coreProperties>
</file>